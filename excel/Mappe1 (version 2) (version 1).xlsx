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u\PraxisNach\Praxisnachbereitung\excel\"/>
    </mc:Choice>
  </mc:AlternateContent>
  <xr:revisionPtr revIDLastSave="0" documentId="13_ncr:1_{16089BB1-A77C-4E58-87C5-149B456B42EB}" xr6:coauthVersionLast="47" xr6:coauthVersionMax="47" xr10:uidLastSave="{00000000-0000-0000-0000-000000000000}"/>
  <bookViews>
    <workbookView xWindow="-98" yWindow="-98" windowWidth="21795" windowHeight="11625" firstSheet="3" activeTab="5" xr2:uid="{2FF2ADA7-B0CE-4CAE-878D-93CFFB33AA07}"/>
  </bookViews>
  <sheets>
    <sheet name="Mitarbeiter" sheetId="4" r:id="rId1"/>
    <sheet name="Geraete" sheetId="5" r:id="rId2"/>
    <sheet name="Ausleihen" sheetId="2" r:id="rId3"/>
    <sheet name="NurLaptops" sheetId="16" r:id="rId4"/>
    <sheet name="Ausleihe + Geräte" sheetId="10" r:id="rId5"/>
    <sheet name="Tabelle3" sheetId="18" r:id="rId6"/>
    <sheet name="Gesamt" sheetId="11" r:id="rId7"/>
    <sheet name="Preis" sheetId="15" r:id="rId8"/>
  </sheets>
  <definedNames>
    <definedName name="_xlcn.WorksheetConnection_Mappe1version2.xlsbAusleihen1" hidden="1">Ausleihen[]</definedName>
    <definedName name="ExterneDaten_1" localSheetId="4" hidden="1">'Ausleihe + Geräte'!$A$1:$I$46</definedName>
    <definedName name="ExterneDaten_1" localSheetId="2" hidden="1">Ausleihen!$A$1:$D$46</definedName>
    <definedName name="ExterneDaten_1" localSheetId="6" hidden="1">Gesamt!$A$1:$L$46</definedName>
    <definedName name="ExterneDaten_2" localSheetId="1" hidden="1">Geraete!$A$1:$F$37</definedName>
    <definedName name="ExterneDaten_2" localSheetId="3" hidden="1">NurLaptops!$A$1:$I$11</definedName>
    <definedName name="ExterneDaten_2" localSheetId="7" hidden="1">Preis!$A$1:$I$30</definedName>
    <definedName name="ExterneDaten_3" localSheetId="0" hidden="1">Mitarbeiter!$A$1:$D$13</definedName>
  </definedNames>
  <calcPr calcId="191029"/>
  <pivotCaches>
    <pivotCache cacheId="10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usleihen" name="Ausleihen" connection="WorksheetConnection_Mappe1 (version 2).xlsb!Ausleihe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1" i="1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BAC039-D694-45A4-8C94-900B3DF59511}" keepAlive="1" name="Abfrage - Ausleihe+Geraete" description="Verbindung mit der Abfrage 'Ausleihe+Geraete' in der Arbeitsmappe." type="5" refreshedVersion="8" background="1" saveData="1">
    <dbPr connection="Provider=Microsoft.Mashup.OleDb.1;Data Source=$Workbook$;Location=Ausleihe+Geraete;Extended Properties=&quot;&quot;" command="SELECT * FROM [Ausleihe+Geraete]"/>
  </connection>
  <connection id="2" xr16:uid="{7CA755CB-1FC2-45A2-91D4-25B1938251BD}" keepAlive="1" name="Abfrage - Ausleihen" description="Verbindung mit der Abfrage 'Ausleihen' in der Arbeitsmappe." type="5" refreshedVersion="8" background="1" saveData="1">
    <dbPr connection="Provider=Microsoft.Mashup.OleDb.1;Data Source=$Workbook$;Location=Ausleihen;Extended Properties=&quot;&quot;" command="SELECT * FROM [Ausleihen]"/>
  </connection>
  <connection id="3" xr16:uid="{43248777-0777-4CB6-89F6-4D2BABEA54F8}" keepAlive="1" name="Abfrage - Geraete" description="Verbindung mit der Abfrage 'Geraete' in der Arbeitsmappe." type="5" refreshedVersion="8" background="1" saveData="1">
    <dbPr connection="Provider=Microsoft.Mashup.OleDb.1;Data Source=$Workbook$;Location=Geraete;Extended Properties=&quot;&quot;" command="SELECT * FROM [Geraete]"/>
  </connection>
  <connection id="4" xr16:uid="{39B8EC3E-89BC-47C5-ACAD-50F213012B1B}" keepAlive="1" name="Abfrage - Geraete (2)" description="Verbindung mit der Abfrage 'Geraete (2)' in der Arbeitsmappe." type="5" refreshedVersion="8" background="1" saveData="1">
    <dbPr connection="Provider=Microsoft.Mashup.OleDb.1;Data Source=$Workbook$;Location=&quot;Geraete (2)&quot;;Extended Properties=&quot;&quot;" command="SELECT * FROM [Geraete (2)]"/>
  </connection>
  <connection id="5" xr16:uid="{1E7E1CF3-0053-4501-920B-725DBBDC32E9}" keepAlive="1" name="Abfrage - Gesamt" description="Verbindung mit der Abfrage 'Gesamt' in der Arbeitsmappe." type="5" refreshedVersion="8" background="1" saveData="1">
    <dbPr connection="Provider=Microsoft.Mashup.OleDb.1;Data Source=$Workbook$;Location=Gesamt;Extended Properties=&quot;&quot;" command="SELECT * FROM [Gesamt]"/>
  </connection>
  <connection id="6" xr16:uid="{D0D38974-A60C-40BA-B38C-3DC36D3FAB38}" keepAlive="1" name="Abfrage - Mitarbeiter" description="Verbindung mit der Abfrage 'Mitarbeiter' in der Arbeitsmappe." type="5" refreshedVersion="8" background="1" saveData="1">
    <dbPr connection="Provider=Microsoft.Mashup.OleDb.1;Data Source=$Workbook$;Location=Mitarbeiter;Extended Properties=&quot;&quot;" command="SELECT * FROM [Mitarbeiter]"/>
  </connection>
  <connection id="7" xr16:uid="{4EC433A1-2936-48CC-9BF0-B00850CFCF88}" keepAlive="1" name="Abfrage - NurLaptops" description="Verbindung mit der Abfrage 'NurLaptops' in der Arbeitsmappe." type="5" refreshedVersion="8" background="1" saveData="1">
    <dbPr connection="Provider=Microsoft.Mashup.OleDb.1;Data Source=$Workbook$;Location=NurLaptops;Extended Properties=&quot;&quot;" command="SELECT * FROM [NurLaptops]"/>
  </connection>
  <connection id="8" xr16:uid="{94E5E938-7067-4820-84F9-329C44F9A9B6}" keepAlive="1" name="Abfrage - PreisSumme" description="Verbindung mit der Abfrage 'PreisSumme' in der Arbeitsmappe." type="5" refreshedVersion="8" background="1" saveData="1">
    <dbPr connection="Provider=Microsoft.Mashup.OleDb.1;Data Source=$Workbook$;Location=PreisSumme;Extended Properties=&quot;&quot;" command="SELECT * FROM [PreisSumme]"/>
  </connection>
  <connection id="9" xr16:uid="{827A8634-6538-4E7D-BA07-C6EE883E3A84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0F64D7CE-EAD5-4AB6-A156-D8806C32E879}" name="WorksheetConnection_Mappe1 (version 2).xlsb!Ausleihen" type="102" refreshedVersion="8" minRefreshableVersion="5">
    <extLst>
      <ext xmlns:x15="http://schemas.microsoft.com/office/spreadsheetml/2010/11/main" uri="{DE250136-89BD-433C-8126-D09CA5730AF9}">
        <x15:connection id="Ausleihen">
          <x15:rangePr sourceName="_xlcn.WorksheetConnection_Mappe1version2.xlsbAusleihen1"/>
        </x15:connection>
      </ext>
    </extLst>
  </connection>
</connections>
</file>

<file path=xl/sharedStrings.xml><?xml version="1.0" encoding="utf-8"?>
<sst xmlns="http://schemas.openxmlformats.org/spreadsheetml/2006/main" count="1078" uniqueCount="134">
  <si>
    <t>Gerätenummer</t>
  </si>
  <si>
    <t>Mitarbeiter-ID</t>
  </si>
  <si>
    <t>Ausgabe am</t>
  </si>
  <si>
    <t>Rückgabe am</t>
  </si>
  <si>
    <t>G0035</t>
  </si>
  <si>
    <t>G0021</t>
  </si>
  <si>
    <t>G0024</t>
  </si>
  <si>
    <t>G0016</t>
  </si>
  <si>
    <t>G0006</t>
  </si>
  <si>
    <t>G0005</t>
  </si>
  <si>
    <t>G0009</t>
  </si>
  <si>
    <t>G0011</t>
  </si>
  <si>
    <t>G0028</t>
  </si>
  <si>
    <t>G0013</t>
  </si>
  <si>
    <t>G0029</t>
  </si>
  <si>
    <t>G0015</t>
  </si>
  <si>
    <t>G0022</t>
  </si>
  <si>
    <t>G0018</t>
  </si>
  <si>
    <t>G0031</t>
  </si>
  <si>
    <t>G0027</t>
  </si>
  <si>
    <t>G0030</t>
  </si>
  <si>
    <t>G0007</t>
  </si>
  <si>
    <t>G0004</t>
  </si>
  <si>
    <t>G0025</t>
  </si>
  <si>
    <t>G0032</t>
  </si>
  <si>
    <t>G0014</t>
  </si>
  <si>
    <t>G0033</t>
  </si>
  <si>
    <t/>
  </si>
  <si>
    <t>Gerätetyp</t>
  </si>
  <si>
    <t>Modell</t>
  </si>
  <si>
    <t>Kaufdatum</t>
  </si>
  <si>
    <t>Netto-Kaufpreis</t>
  </si>
  <si>
    <t>Standort</t>
  </si>
  <si>
    <t>G0001</t>
  </si>
  <si>
    <t>Tablet</t>
  </si>
  <si>
    <t>Galaxy Tab</t>
  </si>
  <si>
    <t>Berlin</t>
  </si>
  <si>
    <t>G0002</t>
  </si>
  <si>
    <t>Surface Go</t>
  </si>
  <si>
    <t>München</t>
  </si>
  <si>
    <t>G0003</t>
  </si>
  <si>
    <t>iPad</t>
  </si>
  <si>
    <t>Laptop</t>
  </si>
  <si>
    <t>Dell XPS</t>
  </si>
  <si>
    <t>Drucker</t>
  </si>
  <si>
    <t>Canon Pixma</t>
  </si>
  <si>
    <t>Smartphone</t>
  </si>
  <si>
    <t>Samsung S21</t>
  </si>
  <si>
    <t>Lenovo ThinkPad</t>
  </si>
  <si>
    <t>Hamburg</t>
  </si>
  <si>
    <t>G0008</t>
  </si>
  <si>
    <t>Beamer</t>
  </si>
  <si>
    <t>Epson EB</t>
  </si>
  <si>
    <t>G0010</t>
  </si>
  <si>
    <t>Brother HL</t>
  </si>
  <si>
    <t>G0012</t>
  </si>
  <si>
    <t>iPhone 13</t>
  </si>
  <si>
    <t>G0017</t>
  </si>
  <si>
    <t>G0019</t>
  </si>
  <si>
    <t>HP LaserJet</t>
  </si>
  <si>
    <t>G0020</t>
  </si>
  <si>
    <t>Monitor</t>
  </si>
  <si>
    <t>Samsung Curved</t>
  </si>
  <si>
    <t>G0023</t>
  </si>
  <si>
    <t>Dell UltraSharp</t>
  </si>
  <si>
    <t>G0026</t>
  </si>
  <si>
    <t>HP EliteBook</t>
  </si>
  <si>
    <t>BenQ MW550</t>
  </si>
  <si>
    <t>G0034</t>
  </si>
  <si>
    <t>Name</t>
  </si>
  <si>
    <t>Abteilung</t>
  </si>
  <si>
    <t>Aleksandr Weinhage</t>
  </si>
  <si>
    <t>IT</t>
  </si>
  <si>
    <t>Eleni Hauffer</t>
  </si>
  <si>
    <t>Paul Dobes-Stiffel</t>
  </si>
  <si>
    <t>Produktion</t>
  </si>
  <si>
    <t>Klemens Löffler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</si>
  <si>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</si>
  <si>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</si>
  <si>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</si>
  <si>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</si>
  <si>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</si>
  <si>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</si>
  <si>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</si>
  <si>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</si>
  <si>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</si>
  <si>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</si>
  <si>
    <t>Geraete (2).Gerätetyp</t>
  </si>
  <si>
    <t>Geraete (2).Modell</t>
  </si>
  <si>
    <t>Geraete (2).Kaufdatum</t>
  </si>
  <si>
    <t>Geraete (2).Netto-Kaufpreis</t>
  </si>
  <si>
    <t>Geraete (2).Standort</t>
  </si>
  <si>
    <t>Mitarbeiter.Name</t>
  </si>
  <si>
    <t>Mitarbeiter.Abteilung</t>
  </si>
  <si>
    <t>Mitarbeiter.Standort</t>
  </si>
  <si>
    <t>11.01.2023</t>
  </si>
  <si>
    <t>23.02.2021</t>
  </si>
  <si>
    <t>08.09.2024</t>
  </si>
  <si>
    <t>05.05.2025</t>
  </si>
  <si>
    <t>03.11.2021</t>
  </si>
  <si>
    <t>01.01.2024</t>
  </si>
  <si>
    <t>13.06.2021</t>
  </si>
  <si>
    <t>23.06.2025</t>
  </si>
  <si>
    <t>10.04.2023</t>
  </si>
  <si>
    <t>09.11.2023</t>
  </si>
  <si>
    <t>09.09.2025</t>
  </si>
  <si>
    <t>01.06.2022</t>
  </si>
  <si>
    <t>16.05.2021</t>
  </si>
  <si>
    <t>03.03.2021</t>
  </si>
  <si>
    <t>20.09.2022</t>
  </si>
  <si>
    <t>30.03.2023</t>
  </si>
  <si>
    <t>16.06.2021</t>
  </si>
  <si>
    <t>05.10.2022</t>
  </si>
  <si>
    <t>21.08.2021</t>
  </si>
  <si>
    <t>06.01.2024</t>
  </si>
  <si>
    <t>22.02.2023</t>
  </si>
  <si>
    <t>20.08.2024</t>
  </si>
  <si>
    <t>19.11.2023</t>
  </si>
  <si>
    <t>01.03.2022</t>
  </si>
  <si>
    <t>06.12.2023</t>
  </si>
  <si>
    <t>20.10.2023</t>
  </si>
  <si>
    <t>24.07.2022</t>
  </si>
  <si>
    <t>19.01.2023</t>
  </si>
  <si>
    <t>21.05.2021</t>
  </si>
  <si>
    <t>27.03.2022</t>
  </si>
  <si>
    <t>28.04.2025</t>
  </si>
  <si>
    <t>11.11.2022</t>
  </si>
  <si>
    <t>03.03.2022</t>
  </si>
  <si>
    <t>17.09.2024</t>
  </si>
  <si>
    <t>03.01.2024</t>
  </si>
  <si>
    <t>Zeilenbeschriftungen</t>
  </si>
  <si>
    <t>Gesamtergebnis</t>
  </si>
  <si>
    <t>Anzahl von Geraete (2).Modell</t>
  </si>
  <si>
    <t>Spaltenbeschriftungen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</si>
</sst>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7]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Standard" xfId="0" builtinId="0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[Mappe1 (version 2) (version 1).xlsx]Tabelle3!PivotTable2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Tabelle3!$B$3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Tabelle3!$A$4:$A$10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Tabelle3!$B$4:$B$10</c:f>
              <c:numCache>
                <c:formatCode>General</c:formatCode>
                <c:ptCount val="6"/>
                <c:pt idx="0">
                  <c:v>12</c:v>
                </c:pt>
                <c:pt idx="1">
                  <c:v>12</c:v>
                </c:pt>
                <c:pt idx="2">
                  <c:v>10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C-4178-9C97-195559DEE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926527"/>
        <c:axId val="1277296751"/>
      </c:barChart>
      <c:catAx>
        <c:axId val="133392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7296751"/>
        <c:crosses val="autoZero"/>
        <c:auto val="1"/>
        <c:lblAlgn val="ctr"/>
        <c:lblOffset val="100"/>
        <c:noMultiLvlLbl val="0"/>
      </c:catAx>
      <c:valAx>
        <c:axId val="127729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392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[Mappe1 (version 2) (version 1).xlsx]Tabelle3!PivotTable3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Tabelle3!$B$21:$B$22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Tabelle3!$A$23:$A$29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Tabelle3!$B$23:$B$29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2-4005-815D-7564FA6C1DD3}"/>
            </c:ext>
          </c:extLst>
        </c:ser>
        <c:ser>
          <c:idx val="1"/>
          <c:order val="1"/>
          <c:tx>
            <c:strRef>
              <c:f>Tabelle3!$C$21:$C$22</c:f>
              <c:strCache>
                <c:ptCount val="1"/>
                <c:pt idx="0">
                  <c:v>Hamburg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Tabelle3!$A$23:$A$29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Tabelle3!$C$23:$C$29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02-4005-815D-7564FA6C1DD3}"/>
            </c:ext>
          </c:extLst>
        </c:ser>
        <c:ser>
          <c:idx val="2"/>
          <c:order val="2"/>
          <c:tx>
            <c:strRef>
              <c:f>Tabelle3!$D$21:$D$22</c:f>
              <c:strCache>
                <c:ptCount val="1"/>
                <c:pt idx="0">
                  <c:v>München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Tabelle3!$A$23:$A$29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Tabelle3!$D$23:$D$29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02-4005-815D-7564FA6C1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3860175"/>
        <c:axId val="1277281871"/>
      </c:barChart>
      <c:catAx>
        <c:axId val="133386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7281871"/>
        <c:crosses val="autoZero"/>
        <c:auto val="1"/>
        <c:lblAlgn val="ctr"/>
        <c:lblOffset val="100"/>
        <c:noMultiLvlLbl val="0"/>
      </c:catAx>
      <c:valAx>
        <c:axId val="127728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386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26193</xdr:colOff>
      <xdr:row>1</xdr:row>
      <xdr:rowOff>176213</xdr:rowOff>
    </xdr:from>
    <xdr:to>
      <xdr:col>9</xdr:col>
      <xdr:colOff>26193</xdr:colOff>
      <xdr:row>17</xdr:row>
      <xdr:rowOff>23813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051EFF4-DB95-5AE4-6997-0A70404EA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408135</xdr:colOff>
      <xdr:row>21</xdr:row>
      <xdr:rowOff>43304</xdr:rowOff>
    </xdr:from>
    <xdr:to>
      <xdr:col>11</xdr:col>
      <xdr:colOff>450223</xdr:colOff>
      <xdr:row>36</xdr:row>
      <xdr:rowOff>45299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F8AAF19-DF6C-8A1B-9952-3539B0188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us Engelhardt" refreshedDate="46305.633732638889" createdVersion="8" refreshedVersion="8" minRefreshableVersion="3" recordCount="45" xr:uid="{B1E56A80-F0E0-4C18-B409-9BF928F1AAAE}">
  <cacheSource type="worksheet">
    <worksheetSource name="Gesamt"/>
  </cacheSource>
  <cacheFields count="12">
    <cacheField name="Gerätenummer" numFmtId="0">
      <sharedItems/>
    </cacheField>
    <cacheField name="Mitarbeiter-ID" numFmtId="0">
      <sharedItems containsSemiMixedTypes="0" containsString="0" containsNumber="1" containsInteger="1" minValue="1001" maxValue="1012"/>
    </cacheField>
    <cacheField name="Ausgabe am" numFmtId="14">
      <sharedItems containsSemiMixedTypes="0" containsNonDate="0" containsDate="1" containsString="0" minDate="2023-12-01T00:00:00" maxDate="2025-10-01T00:00:00"/>
    </cacheField>
    <cacheField name="Rückgabe am" numFmtId="14">
      <sharedItems containsNonDate="0" containsDate="1" containsString="0" containsBlank="1" minDate="2024-06-27T00:00:00" maxDate="2025-10-06T00:00:00"/>
    </cacheField>
    <cacheField name="Geraete (2).Gerätetyp" numFmtId="0">
      <sharedItems count="6">
        <s v="Beamer"/>
        <s v="Drucker"/>
        <s v="Laptop"/>
        <s v="Monitor"/>
        <s v="Smartphone"/>
        <s v="Tablet"/>
      </sharedItems>
    </cacheField>
    <cacheField name="Geraete (2).Modell" numFmtId="0">
      <sharedItems count="12">
        <s v="BenQ MW550"/>
        <s v="Canon Pixma"/>
        <s v="Dell XPS"/>
        <s v="Samsung Curved"/>
        <s v="Dell UltraSharp"/>
        <s v="Samsung S21"/>
        <s v="Lenovo ThinkPad"/>
        <s v="Brother HL"/>
        <s v="Epson EB"/>
        <s v="iPhone 13"/>
        <s v="iPad"/>
        <s v="HP EliteBook"/>
      </sharedItems>
    </cacheField>
    <cacheField name="Geraete (2).Kaufdatum" numFmtId="0">
      <sharedItems/>
    </cacheField>
    <cacheField name="Geraete (2).Netto-Kaufpreis" numFmtId="0">
      <sharedItems containsSemiMixedTypes="0" containsString="0" containsNumber="1" minValue="501.64" maxValue="1898.65"/>
    </cacheField>
    <cacheField name="Geraete (2).Standort" numFmtId="0">
      <sharedItems count="3">
        <s v="Berlin"/>
        <s v="München"/>
        <s v="Hamburg"/>
      </sharedItems>
    </cacheField>
    <cacheField name="Mitarbeiter.Name" numFmtId="0">
      <sharedItems/>
    </cacheField>
    <cacheField name="Mitarbeiter.Abteilung" numFmtId="0">
      <sharedItems/>
    </cacheField>
    <cacheField name="Mitarbeiter.Standor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G0035"/>
    <n v="1009"/>
    <d v="2024-05-09T00:00:00"/>
    <m/>
    <x v="0"/>
    <x v="0"/>
    <s v="03.01.2024"/>
    <n v="644.54"/>
    <x v="0"/>
    <s v="Univ.Prof. Heimo Karge"/>
    <s v="Marketing"/>
    <s v="Hamburg"/>
  </r>
  <r>
    <s v="G0005"/>
    <n v="1009"/>
    <d v="2024-04-07T00:00:00"/>
    <m/>
    <x v="1"/>
    <x v="1"/>
    <s v="03.11.2021"/>
    <n v="823.23"/>
    <x v="0"/>
    <s v="Univ.Prof. Heimo Karge"/>
    <s v="Marketing"/>
    <s v="Hamburg"/>
  </r>
  <r>
    <s v="G0035"/>
    <n v="1001"/>
    <d v="2024-01-06T00:00:00"/>
    <m/>
    <x v="0"/>
    <x v="0"/>
    <s v="03.01.2024"/>
    <n v="644.54"/>
    <x v="0"/>
    <s v="Aleksandr Weinhage"/>
    <s v="IT"/>
    <s v="Berlin"/>
  </r>
  <r>
    <s v="G0035"/>
    <n v="1003"/>
    <d v="2024-05-05T00:00:00"/>
    <m/>
    <x v="0"/>
    <x v="0"/>
    <s v="03.01.2024"/>
    <n v="644.54"/>
    <x v="0"/>
    <s v="Paul Dobes-Stiffel"/>
    <s v="Produktion"/>
    <s v="Hamburg"/>
  </r>
  <r>
    <s v="G0016"/>
    <n v="1003"/>
    <d v="2024-02-08T00:00:00"/>
    <d v="2025-06-09T00:00:00"/>
    <x v="1"/>
    <x v="1"/>
    <s v="30.03.2023"/>
    <n v="1501.06"/>
    <x v="0"/>
    <s v="Paul Dobes-Stiffel"/>
    <s v="Produktion"/>
    <s v="Hamburg"/>
  </r>
  <r>
    <s v="G0004"/>
    <n v="1003"/>
    <d v="2025-06-19T00:00:00"/>
    <d v="2025-09-08T00:00:00"/>
    <x v="2"/>
    <x v="2"/>
    <s v="05.05.2025"/>
    <n v="1007.88"/>
    <x v="1"/>
    <s v="Paul Dobes-Stiffel"/>
    <s v="Produktion"/>
    <s v="Hamburg"/>
  </r>
  <r>
    <s v="G0016"/>
    <n v="1002"/>
    <d v="2025-05-22T00:00:00"/>
    <d v="2025-05-31T00:00:00"/>
    <x v="1"/>
    <x v="1"/>
    <s v="30.03.2023"/>
    <n v="1501.06"/>
    <x v="0"/>
    <s v="Eleni Hauffer"/>
    <s v="IT"/>
    <s v="Berlin"/>
  </r>
  <r>
    <s v="G0021"/>
    <n v="1008"/>
    <d v="2025-09-30T00:00:00"/>
    <d v="2025-10-05T00:00:00"/>
    <x v="3"/>
    <x v="3"/>
    <s v="22.02.2023"/>
    <n v="1134.1600000000001"/>
    <x v="1"/>
    <s v="Dipl.-Ing. Klaus-Werner Holsten B.Sc."/>
    <s v="IT"/>
    <s v="Hamburg"/>
  </r>
  <r>
    <s v="G0024"/>
    <n v="1008"/>
    <d v="2024-03-24T00:00:00"/>
    <m/>
    <x v="3"/>
    <x v="4"/>
    <s v="01.03.2022"/>
    <n v="750.91"/>
    <x v="0"/>
    <s v="Dipl.-Ing. Klaus-Werner Holsten B.Sc."/>
    <s v="IT"/>
    <s v="Hamburg"/>
  </r>
  <r>
    <s v="G0024"/>
    <n v="1005"/>
    <d v="2025-03-27T00:00:00"/>
    <d v="2025-07-30T00:00:00"/>
    <x v="3"/>
    <x v="4"/>
    <s v="01.03.2022"/>
    <n v="750.91"/>
    <x v="0"/>
    <s v="Alexandre Davids"/>
    <s v="Vertrieb"/>
    <s v="Berlin"/>
  </r>
  <r>
    <s v="G0005"/>
    <n v="1006"/>
    <d v="2025-08-23T00:00:00"/>
    <d v="2025-09-22T00:00:00"/>
    <x v="1"/>
    <x v="1"/>
    <s v="03.11.2021"/>
    <n v="823.23"/>
    <x v="0"/>
    <s v="Eric Patberg B.Sc."/>
    <s v="Vertrieb"/>
    <s v="Hamburg"/>
  </r>
  <r>
    <s v="G0016"/>
    <n v="1010"/>
    <d v="2025-07-28T00:00:00"/>
    <m/>
    <x v="1"/>
    <x v="1"/>
    <s v="30.03.2023"/>
    <n v="1501.06"/>
    <x v="0"/>
    <s v="Carolin Hande"/>
    <s v="IT"/>
    <s v="Hamburg"/>
  </r>
  <r>
    <s v="G0006"/>
    <n v="1012"/>
    <d v="2025-05-31T00:00:00"/>
    <d v="2025-06-10T00:00:00"/>
    <x v="4"/>
    <x v="5"/>
    <s v="01.01.2024"/>
    <n v="1257.96"/>
    <x v="1"/>
    <s v="Ariane Klemt-Kaul"/>
    <s v="IT"/>
    <s v="München"/>
  </r>
  <r>
    <s v="G0005"/>
    <n v="1012"/>
    <d v="2024-11-03T00:00:00"/>
    <m/>
    <x v="1"/>
    <x v="1"/>
    <s v="03.11.2021"/>
    <n v="823.23"/>
    <x v="0"/>
    <s v="Ariane Klemt-Kaul"/>
    <s v="IT"/>
    <s v="München"/>
  </r>
  <r>
    <s v="G0009"/>
    <n v="1011"/>
    <d v="2025-07-12T00:00:00"/>
    <d v="2025-07-15T00:00:00"/>
    <x v="2"/>
    <x v="2"/>
    <s v="10.04.2023"/>
    <n v="1458.02"/>
    <x v="1"/>
    <s v="Auguste Davids"/>
    <s v="IT"/>
    <s v="Hamburg"/>
  </r>
  <r>
    <s v="G0007"/>
    <n v="1001"/>
    <d v="2024-09-09T00:00:00"/>
    <d v="2025-07-16T00:00:00"/>
    <x v="2"/>
    <x v="6"/>
    <s v="13.06.2021"/>
    <n v="869.09"/>
    <x v="2"/>
    <s v="Aleksandr Weinhage"/>
    <s v="IT"/>
    <s v="Berlin"/>
  </r>
  <r>
    <s v="G0007"/>
    <n v="1001"/>
    <d v="2025-08-11T00:00:00"/>
    <m/>
    <x v="2"/>
    <x v="6"/>
    <s v="13.06.2021"/>
    <n v="869.09"/>
    <x v="2"/>
    <s v="Aleksandr Weinhage"/>
    <s v="IT"/>
    <s v="Berlin"/>
  </r>
  <r>
    <s v="G0011"/>
    <n v="1005"/>
    <d v="2025-06-29T00:00:00"/>
    <d v="2025-08-29T00:00:00"/>
    <x v="1"/>
    <x v="7"/>
    <s v="09.09.2025"/>
    <n v="1417.1"/>
    <x v="1"/>
    <s v="Alexandre Davids"/>
    <s v="Vertrieb"/>
    <s v="Berlin"/>
  </r>
  <r>
    <s v="G0028"/>
    <n v="1004"/>
    <d v="2024-08-19T00:00:00"/>
    <m/>
    <x v="0"/>
    <x v="8"/>
    <s v="19.01.2023"/>
    <n v="1246.58"/>
    <x v="2"/>
    <s v="Klemens Löffler"/>
    <s v="Vertrieb"/>
    <s v="Hamburg"/>
  </r>
  <r>
    <s v="G0028"/>
    <n v="1006"/>
    <d v="2024-12-04T00:00:00"/>
    <d v="2025-03-16T00:00:00"/>
    <x v="0"/>
    <x v="8"/>
    <s v="19.01.2023"/>
    <n v="1246.58"/>
    <x v="2"/>
    <s v="Eric Patberg B.Sc."/>
    <s v="Vertrieb"/>
    <s v="Hamburg"/>
  </r>
  <r>
    <s v="G0028"/>
    <n v="1003"/>
    <d v="2024-10-30T00:00:00"/>
    <d v="2024-12-04T00:00:00"/>
    <x v="0"/>
    <x v="8"/>
    <s v="19.01.2023"/>
    <n v="1246.58"/>
    <x v="2"/>
    <s v="Paul Dobes-Stiffel"/>
    <s v="Produktion"/>
    <s v="Hamburg"/>
  </r>
  <r>
    <s v="G0013"/>
    <n v="1012"/>
    <d v="2024-05-07T00:00:00"/>
    <d v="2024-06-27T00:00:00"/>
    <x v="1"/>
    <x v="1"/>
    <s v="16.05.2021"/>
    <n v="1898.65"/>
    <x v="2"/>
    <s v="Ariane Klemt-Kaul"/>
    <s v="IT"/>
    <s v="München"/>
  </r>
  <r>
    <s v="G0013"/>
    <n v="1009"/>
    <d v="2024-01-28T00:00:00"/>
    <d v="2025-02-26T00:00:00"/>
    <x v="1"/>
    <x v="1"/>
    <s v="16.05.2021"/>
    <n v="1898.65"/>
    <x v="2"/>
    <s v="Univ.Prof. Heimo Karge"/>
    <s v="Marketing"/>
    <s v="Hamburg"/>
  </r>
  <r>
    <s v="G0029"/>
    <n v="1002"/>
    <d v="2025-09-21T00:00:00"/>
    <d v="2025-10-04T00:00:00"/>
    <x v="2"/>
    <x v="6"/>
    <s v="21.05.2021"/>
    <n v="1553.15"/>
    <x v="2"/>
    <s v="Eleni Hauffer"/>
    <s v="IT"/>
    <s v="Berlin"/>
  </r>
  <r>
    <s v="G0015"/>
    <n v="1010"/>
    <d v="2024-03-26T00:00:00"/>
    <d v="2025-08-17T00:00:00"/>
    <x v="4"/>
    <x v="9"/>
    <s v="20.09.2022"/>
    <n v="661.44"/>
    <x v="1"/>
    <s v="Carolin Hande"/>
    <s v="IT"/>
    <s v="Hamburg"/>
  </r>
  <r>
    <s v="G0015"/>
    <n v="1002"/>
    <d v="2024-08-15T00:00:00"/>
    <m/>
    <x v="4"/>
    <x v="9"/>
    <s v="20.09.2022"/>
    <n v="661.44"/>
    <x v="1"/>
    <s v="Eleni Hauffer"/>
    <s v="IT"/>
    <s v="Berlin"/>
  </r>
  <r>
    <s v="G0014"/>
    <n v="1001"/>
    <d v="2024-11-26T00:00:00"/>
    <d v="2025-03-03T00:00:00"/>
    <x v="2"/>
    <x v="6"/>
    <s v="03.03.2021"/>
    <n v="1415.97"/>
    <x v="2"/>
    <s v="Aleksandr Weinhage"/>
    <s v="IT"/>
    <s v="Berlin"/>
  </r>
  <r>
    <s v="G0022"/>
    <n v="1002"/>
    <d v="2025-08-30T00:00:00"/>
    <d v="2025-09-30T00:00:00"/>
    <x v="5"/>
    <x v="10"/>
    <s v="20.08.2024"/>
    <n v="1591.98"/>
    <x v="2"/>
    <s v="Eleni Hauffer"/>
    <s v="IT"/>
    <s v="Berlin"/>
  </r>
  <r>
    <s v="G0022"/>
    <n v="1002"/>
    <d v="2024-07-20T00:00:00"/>
    <d v="2025-01-06T00:00:00"/>
    <x v="5"/>
    <x v="10"/>
    <s v="20.08.2024"/>
    <n v="1591.98"/>
    <x v="2"/>
    <s v="Eleni Hauffer"/>
    <s v="IT"/>
    <s v="Berlin"/>
  </r>
  <r>
    <s v="G0018"/>
    <n v="1011"/>
    <d v="2024-10-03T00:00:00"/>
    <d v="2024-11-27T00:00:00"/>
    <x v="5"/>
    <x v="10"/>
    <s v="05.10.2022"/>
    <n v="1688.07"/>
    <x v="1"/>
    <s v="Auguste Davids"/>
    <s v="IT"/>
    <s v="Hamburg"/>
  </r>
  <r>
    <s v="G0031"/>
    <n v="1004"/>
    <d v="2024-01-29T00:00:00"/>
    <m/>
    <x v="2"/>
    <x v="11"/>
    <s v="28.04.2025"/>
    <n v="1095.6199999999999"/>
    <x v="1"/>
    <s v="Klemens Löffler"/>
    <s v="Vertrieb"/>
    <s v="Hamburg"/>
  </r>
  <r>
    <s v="G0031"/>
    <n v="1004"/>
    <d v="2024-02-14T00:00:00"/>
    <m/>
    <x v="2"/>
    <x v="11"/>
    <s v="28.04.2025"/>
    <n v="1095.6199999999999"/>
    <x v="1"/>
    <s v="Klemens Löffler"/>
    <s v="Vertrieb"/>
    <s v="Hamburg"/>
  </r>
  <r>
    <s v="G0027"/>
    <n v="1004"/>
    <d v="2024-04-21T00:00:00"/>
    <d v="2025-07-01T00:00:00"/>
    <x v="3"/>
    <x v="3"/>
    <s v="24.07.2022"/>
    <n v="501.64"/>
    <x v="1"/>
    <s v="Klemens Löffler"/>
    <s v="Vertrieb"/>
    <s v="Hamburg"/>
  </r>
  <r>
    <s v="G0030"/>
    <n v="1012"/>
    <d v="2025-05-15T00:00:00"/>
    <d v="2025-09-05T00:00:00"/>
    <x v="0"/>
    <x v="8"/>
    <s v="27.03.2022"/>
    <n v="1629.76"/>
    <x v="1"/>
    <s v="Ariane Klemt-Kaul"/>
    <s v="IT"/>
    <s v="München"/>
  </r>
  <r>
    <s v="G0030"/>
    <n v="1005"/>
    <d v="2023-12-01T00:00:00"/>
    <d v="2024-09-24T00:00:00"/>
    <x v="0"/>
    <x v="8"/>
    <s v="27.03.2022"/>
    <n v="1629.76"/>
    <x v="1"/>
    <s v="Alexandre Davids"/>
    <s v="Vertrieb"/>
    <s v="Berlin"/>
  </r>
  <r>
    <s v="G0025"/>
    <n v="1005"/>
    <d v="2025-01-18T00:00:00"/>
    <m/>
    <x v="0"/>
    <x v="8"/>
    <s v="06.12.2023"/>
    <n v="545.46"/>
    <x v="0"/>
    <s v="Alexandre Davids"/>
    <s v="Vertrieb"/>
    <s v="Berlin"/>
  </r>
  <r>
    <s v="G0032"/>
    <n v="1003"/>
    <d v="2024-08-04T00:00:00"/>
    <d v="2025-08-02T00:00:00"/>
    <x v="2"/>
    <x v="6"/>
    <s v="11.11.2022"/>
    <n v="1801.36"/>
    <x v="1"/>
    <s v="Paul Dobes-Stiffel"/>
    <s v="Produktion"/>
    <s v="Hamburg"/>
  </r>
  <r>
    <s v="G0035"/>
    <n v="1001"/>
    <d v="2024-12-15T00:00:00"/>
    <m/>
    <x v="0"/>
    <x v="0"/>
    <s v="03.01.2024"/>
    <n v="644.54"/>
    <x v="0"/>
    <s v="Aleksandr Weinhage"/>
    <s v="IT"/>
    <s v="Berlin"/>
  </r>
  <r>
    <s v="G0004"/>
    <n v="1001"/>
    <d v="2025-08-11T00:00:00"/>
    <d v="2025-08-12T00:00:00"/>
    <x v="2"/>
    <x v="2"/>
    <s v="05.05.2025"/>
    <n v="1007.88"/>
    <x v="1"/>
    <s v="Aleksandr Weinhage"/>
    <s v="IT"/>
    <s v="Berlin"/>
  </r>
  <r>
    <s v="G0033"/>
    <n v="1009"/>
    <d v="2025-03-24T00:00:00"/>
    <d v="2025-05-07T00:00:00"/>
    <x v="0"/>
    <x v="0"/>
    <s v="03.03.2022"/>
    <n v="1212.29"/>
    <x v="0"/>
    <s v="Univ.Prof. Heimo Karge"/>
    <s v="Marketing"/>
    <s v="Hamburg"/>
  </r>
  <r>
    <s v="G0033"/>
    <n v="1002"/>
    <d v="2025-03-25T00:00:00"/>
    <m/>
    <x v="0"/>
    <x v="0"/>
    <s v="03.03.2022"/>
    <n v="1212.29"/>
    <x v="0"/>
    <s v="Eleni Hauffer"/>
    <s v="IT"/>
    <s v="Berlin"/>
  </r>
  <r>
    <s v="G0005"/>
    <n v="1010"/>
    <d v="2025-08-30T00:00:00"/>
    <d v="2025-09-25T00:00:00"/>
    <x v="1"/>
    <x v="1"/>
    <s v="03.11.2021"/>
    <n v="823.23"/>
    <x v="0"/>
    <s v="Carolin Hande"/>
    <s v="IT"/>
    <s v="Hamburg"/>
  </r>
  <r>
    <s v="G0016"/>
    <n v="1007"/>
    <d v="2025-05-18T00:00:00"/>
    <d v="2025-07-08T00:00:00"/>
    <x v="1"/>
    <x v="1"/>
    <s v="30.03.2023"/>
    <n v="1501.06"/>
    <x v="0"/>
    <s v="Orhan Siering MBA."/>
    <s v="IT"/>
    <s v="Berlin"/>
  </r>
  <r>
    <s v="G0016"/>
    <n v="1010"/>
    <d v="2025-05-31T00:00:00"/>
    <d v="2025-10-02T00:00:00"/>
    <x v="1"/>
    <x v="1"/>
    <s v="30.03.2023"/>
    <n v="1501.06"/>
    <x v="0"/>
    <s v="Carolin Hande"/>
    <s v="IT"/>
    <s v="Hamburg"/>
  </r>
  <r>
    <s v="G0006"/>
    <n v="1007"/>
    <d v="2024-07-03T00:00:00"/>
    <m/>
    <x v="4"/>
    <x v="5"/>
    <s v="01.01.2024"/>
    <n v="1257.96"/>
    <x v="1"/>
    <s v="Orhan Siering MBA."/>
    <s v="IT"/>
    <s v="Berl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836A1-EB78-455A-BB1F-2C11B2C42CC9}" name="PivotTable3" cacheId="1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A21:E29" firstHeaderRow="1" firstDataRow="2" firstDataCol="1"/>
  <pivotFields count="12">
    <pivotField showAll="0"/>
    <pivotField showAll="0"/>
    <pivotField numFmtId="14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>
      <items count="13">
        <item x="0"/>
        <item x="7"/>
        <item x="1"/>
        <item x="4"/>
        <item x="2"/>
        <item x="8"/>
        <item x="11"/>
        <item x="10"/>
        <item x="9"/>
        <item x="6"/>
        <item x="3"/>
        <item x="5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Anzahl von Geraete (2).Modell" fld="5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995CA-9A2C-4D4D-9AE3-9ADB6EBA5A6C}" name="PivotTable2" cacheId="1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2">
    <pivotField showAll="0"/>
    <pivotField showAll="0"/>
    <pivotField numFmtId="14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>
      <items count="13">
        <item x="0"/>
        <item x="7"/>
        <item x="1"/>
        <item x="4"/>
        <item x="2"/>
        <item x="8"/>
        <item x="11"/>
        <item x="10"/>
        <item x="9"/>
        <item x="6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nzahl von Geraete (2).Modell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6" xr16:uid="{1DA99813-FCB0-48FB-A23D-07B6BE5823FB}" autoFormatId="16" applyNumberFormats="0" applyBorderFormats="0" applyFontFormats="0" applyPatternFormats="0" applyAlignmentFormats="0" applyWidthHeightFormats="0">
  <queryTableRefresh nextId="5">
    <queryTableFields count="4">
      <queryTableField id="1" name="Mitarbeiter-ID" tableColumnId="1"/>
      <queryTableField id="2" name="Name" tableColumnId="2"/>
      <queryTableField id="3" name="Abteilung" tableColumnId="3"/>
      <queryTableField id="4" name="Standor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4" xr16:uid="{B036FA99-CA39-4361-9125-F40F5772FA9C}" autoFormatId="16" applyNumberFormats="0" applyBorderFormats="0" applyFontFormats="0" applyPatternFormats="0" applyAlignmentFormats="0" applyWidthHeightFormats="0">
  <queryTableRefresh nextId="7">
    <queryTableFields count="6">
      <queryTableField id="1" name="Gerätenummer" tableColumnId="1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49F6D725-49F8-40A7-BE2F-A9183424151E}" autoFormatId="16" applyNumberFormats="0" applyBorderFormats="0" applyFontFormats="0" applyPatternFormats="0" applyAlignmentFormats="0" applyWidthHeightFormats="0">
  <queryTableRefresh nextId="5">
    <queryTableFields count="4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7" xr16:uid="{A74424D6-30A8-44DA-88FA-3592BCE47E2C}" autoFormatId="16" applyNumberFormats="0" applyBorderFormats="0" applyFontFormats="0" applyPatternFormats="0" applyAlignmentFormats="0" applyWidthHeightFormats="0">
  <queryTableRefresh nextId="10">
    <queryTableFields count="9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name="Geraete (2).Gerätetyp" tableColumnId="5"/>
      <queryTableField id="6" name="Geraete (2).Modell" tableColumnId="6"/>
      <queryTableField id="7" name="Geraete (2).Kaufdatum" tableColumnId="7"/>
      <queryTableField id="8" name="Geraete (2).Netto-Kaufpreis" tableColumnId="8"/>
      <queryTableField id="9" name="Geraete (2).Standort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3686EC7-271B-4976-830F-49F79E3C252C}" autoFormatId="16" applyNumberFormats="0" applyBorderFormats="0" applyFontFormats="0" applyPatternFormats="0" applyAlignmentFormats="0" applyWidthHeightFormats="0">
  <queryTableRefresh nextId="10">
    <queryTableFields count="9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name="Geraete (2).Gerätetyp" tableColumnId="5"/>
      <queryTableField id="6" name="Geraete (2).Modell" tableColumnId="6"/>
      <queryTableField id="7" name="Geraete (2).Kaufdatum" tableColumnId="7"/>
      <queryTableField id="8" name="Geraete (2).Netto-Kaufpreis" tableColumnId="8"/>
      <queryTableField id="9" name="Geraete (2).Standort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72339171-5F8B-42AD-90AF-89EB66DC21D3}" autoFormatId="16" applyNumberFormats="0" applyBorderFormats="0" applyFontFormats="0" applyPatternFormats="0" applyAlignmentFormats="0" applyWidthHeightFormats="0">
  <queryTableRefresh nextId="13">
    <queryTableFields count="12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name="Geraete (2).Gerätetyp" tableColumnId="5"/>
      <queryTableField id="6" name="Geraete (2).Modell" tableColumnId="6"/>
      <queryTableField id="7" name="Geraete (2).Kaufdatum" tableColumnId="7"/>
      <queryTableField id="8" name="Geraete (2).Netto-Kaufpreis" tableColumnId="8"/>
      <queryTableField id="9" name="Geraete (2).Standort" tableColumnId="9"/>
      <queryTableField id="10" name="Mitarbeiter.Name" tableColumnId="10"/>
      <queryTableField id="11" name="Mitarbeiter.Abteilung" tableColumnId="11"/>
      <queryTableField id="12" name="Mitarbeiter.Standort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8" xr16:uid="{0825112B-474F-46F6-9B4C-C89B8EBB5CDB}" autoFormatId="16" applyNumberFormats="0" applyBorderFormats="0" applyFontFormats="0" applyPatternFormats="0" applyAlignmentFormats="0" applyWidthHeightFormats="0">
  <queryTableRefresh nextId="10">
    <queryTableFields count="9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name="Geraete (2).Gerätetyp" tableColumnId="5"/>
      <queryTableField id="6" name="Geraete (2).Modell" tableColumnId="6"/>
      <queryTableField id="7" name="Geraete (2).Kaufdatum" tableColumnId="7"/>
      <queryTableField id="8" name="Geraete (2).Netto-Kaufpreis" tableColumnId="8"/>
      <queryTableField id="9" name="Geraete (2).Standor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974AC2-64B3-4751-9770-44065AB9D5BE}" name="Mitarbeiter" displayName="Mitarbeiter" ref="A1:D13" tableType="queryTable" totalsRowShown="0">
  <autoFilter ref="A1:D13" xr:uid="{10974AC2-64B3-4751-9770-44065AB9D5BE}"/>
  <tableColumns count="4">
    <tableColumn id="1" xr3:uid="{2829917D-B2EB-4622-8E85-486986E2EE53}" uniqueName="1" name="Mitarbeiter-ID" queryTableFieldId="1"/>
    <tableColumn id="2" xr3:uid="{2571AE50-7105-4090-8B81-4108E070B716}" uniqueName="2" name="Name" queryTableFieldId="2" dataDxfId="45"/>
    <tableColumn id="3" xr3:uid="{6AA8F5D3-8981-4CEF-ACCA-42DEAAAE99B9}" uniqueName="3" name="Abteilung" queryTableFieldId="3" dataDxfId="44"/>
    <tableColumn id="4" xr3:uid="{50CFCB57-7DE8-4468-BF61-9D547AC0D800}" uniqueName="4" name="Standort" queryTableFieldId="4" dataDxfId="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5BF129-BF69-4096-9F35-F9E474FD961D}" name="Geraete__2" displayName="Geraete__2" ref="A1:F37" tableType="queryTable" totalsRowShown="0">
  <autoFilter ref="A1:F37" xr:uid="{2C5BF129-BF69-4096-9F35-F9E474FD961D}"/>
  <tableColumns count="6">
    <tableColumn id="1" xr3:uid="{48D5CE63-85CC-4398-8BEE-51B416FDC8E4}" uniqueName="1" name="Gerätenummer" queryTableFieldId="1" dataDxfId="42"/>
    <tableColumn id="2" xr3:uid="{D9D4C9EA-803C-4302-8E1B-01942CB38D7D}" uniqueName="2" name="Gerätetyp" queryTableFieldId="2" dataDxfId="41"/>
    <tableColumn id="3" xr3:uid="{66B252E4-820A-4BFE-9CD1-B10324F210AF}" uniqueName="3" name="Modell" queryTableFieldId="3" dataDxfId="40"/>
    <tableColumn id="4" xr3:uid="{F4DC1F09-F1B6-4322-8789-404CF67A28C0}" uniqueName="4" name="Kaufdatum" queryTableFieldId="4" dataDxfId="23"/>
    <tableColumn id="5" xr3:uid="{B72189E1-F81E-4DE4-8511-C6E6E5D87AD7}" uniqueName="5" name="Netto-Kaufpreis" queryTableFieldId="5" dataDxfId="22"/>
    <tableColumn id="6" xr3:uid="{C8BDECAB-929B-430F-AD72-8A43995AEE70}" uniqueName="6" name="Standort" queryTableFieldId="6" dataDxfId="3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664EA-82F3-4F69-B8DA-83F793F17721}" name="Ausleihen" displayName="Ausleihen" ref="A1:D46" tableType="queryTable" totalsRowShown="0">
  <tableColumns count="4">
    <tableColumn id="1" xr3:uid="{B826D915-AC41-49AE-BC02-C73C8562BF1C}" uniqueName="1" name="Gerätenummer" queryTableFieldId="1" dataDxfId="38"/>
    <tableColumn id="2" xr3:uid="{99F01CF9-7120-4180-AF43-DD1CDD7F4A13}" uniqueName="2" name="Mitarbeiter-ID" queryTableFieldId="2" dataDxfId="37"/>
    <tableColumn id="3" xr3:uid="{7112A8AC-345F-4548-B47F-156C7C478A19}" uniqueName="3" name="Ausgabe am" queryTableFieldId="3" dataDxfId="36"/>
    <tableColumn id="4" xr3:uid="{F0968914-A0BE-49E2-A685-1685722D6E9B}" uniqueName="4" name="Rückgabe am" queryTableFieldId="4" dataDxf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E471BB-91E2-421E-91E1-D141E08F6F43}" name="NurLaptops" displayName="NurLaptops" ref="A1:I11" tableType="queryTable" totalsRowShown="0">
  <autoFilter ref="A1:I11" xr:uid="{6FE471BB-91E2-421E-91E1-D141E08F6F43}"/>
  <tableColumns count="9">
    <tableColumn id="1" xr3:uid="{6F0FC161-7445-445C-A286-E1D28FE73210}" uniqueName="1" name="Gerätenummer" queryTableFieldId="1" dataDxfId="5"/>
    <tableColumn id="2" xr3:uid="{ED74410B-81E0-4E03-A4BB-852B9D94CC6A}" uniqueName="2" name="Mitarbeiter-ID" queryTableFieldId="2"/>
    <tableColumn id="3" xr3:uid="{F2016EAC-10BA-45CE-95BA-62CA0180F09B}" uniqueName="3" name="Ausgabe am" queryTableFieldId="3" dataDxfId="4"/>
    <tableColumn id="4" xr3:uid="{97692CF1-4A37-4898-AABA-E20F21A94295}" uniqueName="4" name="Rückgabe am" queryTableFieldId="4" dataDxfId="3"/>
    <tableColumn id="5" xr3:uid="{995DBCAB-F986-492C-80BC-DB04E01894DD}" uniqueName="5" name="Geraete (2).Gerätetyp" queryTableFieldId="5" dataDxfId="2"/>
    <tableColumn id="6" xr3:uid="{B6EC797D-A84F-4B76-BABA-469433E513A8}" uniqueName="6" name="Geraete (2).Modell" queryTableFieldId="6" dataDxfId="1"/>
    <tableColumn id="7" xr3:uid="{3C6572CF-E4C3-4487-BCE8-5A0F68D3392A}" uniqueName="7" name="Geraete (2).Kaufdatum" queryTableFieldId="7"/>
    <tableColumn id="8" xr3:uid="{CBF7358F-6F71-4383-A3AA-45CF55B8C91F}" uniqueName="8" name="Geraete (2).Netto-Kaufpreis" queryTableFieldId="8"/>
    <tableColumn id="9" xr3:uid="{3DA01B25-DE6E-4DFF-8B30-C7B5C4748BC7}" uniqueName="9" name="Geraete (2).Standort" queryTableFieldId="9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C20134-9876-4869-A020-59405891430B}" name="Ausleihe_Geraete" displayName="Ausleihe_Geraete" ref="A1:I46" tableType="queryTable" totalsRowShown="0">
  <autoFilter ref="A1:I46" xr:uid="{50C20134-9876-4869-A020-59405891430B}"/>
  <tableColumns count="9">
    <tableColumn id="1" xr3:uid="{3F8EB7F3-C8B8-4378-A062-CB3370E884B1}" uniqueName="1" name="Gerätenummer" queryTableFieldId="1" dataDxfId="49"/>
    <tableColumn id="2" xr3:uid="{63111557-8A72-4357-8194-C1E3D4C98C0A}" uniqueName="2" name="Mitarbeiter-ID" queryTableFieldId="2"/>
    <tableColumn id="3" xr3:uid="{B7FE1EAB-E4D4-4085-AEE3-85EE5F793E6A}" uniqueName="3" name="Ausgabe am" queryTableFieldId="3" dataDxfId="27"/>
    <tableColumn id="4" xr3:uid="{3D1EA06B-86C6-45E4-A802-022CA5831ABA}" uniqueName="4" name="Rückgabe am" queryTableFieldId="4" dataDxfId="26"/>
    <tableColumn id="5" xr3:uid="{84C435AE-C56B-47FF-A577-D150FB40356B}" uniqueName="5" name="Geraete (2).Gerätetyp" queryTableFieldId="5" dataDxfId="48"/>
    <tableColumn id="6" xr3:uid="{CC5F568E-700A-40B8-BC18-EAC13195434A}" uniqueName="6" name="Geraete (2).Modell" queryTableFieldId="6" dataDxfId="47"/>
    <tableColumn id="7" xr3:uid="{FF5B240C-EEB5-4ED5-AFBE-282296526ED2}" uniqueName="7" name="Geraete (2).Kaufdatum" queryTableFieldId="7" dataDxfId="25"/>
    <tableColumn id="8" xr3:uid="{6BADF805-F621-46C3-9B23-9E9BD39650C9}" uniqueName="8" name="Geraete (2).Netto-Kaufpreis" queryTableFieldId="8" dataDxfId="24"/>
    <tableColumn id="9" xr3:uid="{F9803FC1-1E5D-46ED-8862-F35CA698D29C}" uniqueName="9" name="Geraete (2).Standort" queryTableFieldId="9" dataDxfId="4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272D46-D958-4F7D-A776-30860A36574E}" name="Gesamt" displayName="Gesamt" ref="A1:L46" tableType="queryTable" totalsRowShown="0">
  <autoFilter ref="A1:L46" xr:uid="{A8272D46-D958-4F7D-A776-30860A36574E}"/>
  <tableColumns count="12">
    <tableColumn id="1" xr3:uid="{794E348C-2204-4800-BE9E-D800C9728B32}" uniqueName="1" name="Gerätenummer" queryTableFieldId="1" dataDxfId="34"/>
    <tableColumn id="2" xr3:uid="{645EF71E-0337-493D-8870-4143E402F512}" uniqueName="2" name="Mitarbeiter-ID" queryTableFieldId="2"/>
    <tableColumn id="3" xr3:uid="{00F7B847-B6DC-4C96-852F-17687232F547}" uniqueName="3" name="Ausgabe am" queryTableFieldId="3" dataDxfId="21"/>
    <tableColumn id="4" xr3:uid="{5A9330E9-A87C-4471-95E6-52994F06FF99}" uniqueName="4" name="Rückgabe am" queryTableFieldId="4" dataDxfId="20"/>
    <tableColumn id="5" xr3:uid="{58330A76-2F50-4EF1-AF58-6F69FBAB728E}" uniqueName="5" name="Geraete (2).Gerätetyp" queryTableFieldId="5" dataDxfId="33"/>
    <tableColumn id="6" xr3:uid="{FD5B06BF-93E1-4182-A1B8-0A97ECA67120}" uniqueName="6" name="Geraete (2).Modell" queryTableFieldId="6" dataDxfId="32"/>
    <tableColumn id="7" xr3:uid="{DD6934BE-E2A5-4103-B4C3-A5A8AA2D4B36}" uniqueName="7" name="Geraete (2).Kaufdatum" queryTableFieldId="7" dataDxfId="19"/>
    <tableColumn id="8" xr3:uid="{002F31D9-2A37-459E-808C-398F1BC1F4CC}" uniqueName="8" name="Geraete (2).Netto-Kaufpreis" queryTableFieldId="8" dataDxfId="18"/>
    <tableColumn id="9" xr3:uid="{27B3F988-57B9-4CDC-94B8-53C53455024B}" uniqueName="9" name="Geraete (2).Standort" queryTableFieldId="9" dataDxfId="31"/>
    <tableColumn id="10" xr3:uid="{9771BB2C-F438-4A24-AD24-DFFE653E6AFD}" uniqueName="10" name="Mitarbeiter.Name" queryTableFieldId="10" dataDxfId="30"/>
    <tableColumn id="11" xr3:uid="{D0E78357-90A1-4D0F-AA3E-4D961C9B643B}" uniqueName="11" name="Mitarbeiter.Abteilung" queryTableFieldId="11" dataDxfId="29"/>
    <tableColumn id="12" xr3:uid="{D7D44681-FA27-4FE3-AEAB-1CDEAB5E5566}" uniqueName="12" name="Mitarbeiter.Standort" queryTableFieldId="12" dataDxfId="2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4D47F5-BB8F-4875-9EBD-179E22582AC0}" name="PreisSumme" displayName="PreisSumme" ref="A1:I31" tableType="queryTable" totalsRowCount="1">
  <autoFilter ref="A1:I30" xr:uid="{6C4D47F5-BB8F-4875-9EBD-179E22582AC0}"/>
  <tableColumns count="9">
    <tableColumn id="1" xr3:uid="{077186E8-3EC4-4E51-AE8D-F112EA0EACC6}" uniqueName="1" name="Gerätenummer" queryTableFieldId="1" dataDxfId="11" totalsRowDxfId="17"/>
    <tableColumn id="2" xr3:uid="{7175C626-6469-4DB0-BCC7-9669AC3F542E}" uniqueName="2" name="Mitarbeiter-ID" queryTableFieldId="2"/>
    <tableColumn id="3" xr3:uid="{7DF9C2B2-609D-430A-B9B4-B2CB24E9F407}" uniqueName="3" name="Ausgabe am" queryTableFieldId="3" dataDxfId="10" totalsRowDxfId="16"/>
    <tableColumn id="4" xr3:uid="{5CCAE6AB-2CD2-4C3E-9A2E-DB915ACA01D0}" uniqueName="4" name="Rückgabe am" queryTableFieldId="4" dataDxfId="9" totalsRowDxfId="15"/>
    <tableColumn id="5" xr3:uid="{81664B7A-B1F9-49DE-9578-A21539EFDAB0}" uniqueName="5" name="Geraete (2).Gerätetyp" queryTableFieldId="5" dataDxfId="8" totalsRowDxfId="14"/>
    <tableColumn id="6" xr3:uid="{B4DDC299-C8EB-4903-95A2-476AC13BCE07}" uniqueName="6" name="Geraete (2).Modell" queryTableFieldId="6" dataDxfId="7" totalsRowDxfId="13"/>
    <tableColumn id="7" xr3:uid="{C840586F-7043-4FED-A6F3-7E6C7A3BEDB1}" uniqueName="7" name="Geraete (2).Kaufdatum" queryTableFieldId="7"/>
    <tableColumn id="8" xr3:uid="{12D53546-A0BE-407B-B2BB-A9451A613635}" uniqueName="8" name="Geraete (2).Netto-Kaufpreis" totalsRowFunction="custom" queryTableFieldId="8">
      <totalsRowFormula>SUM(PreisSumme[Geraete (2).Netto-Kaufpreis])</totalsRowFormula>
    </tableColumn>
    <tableColumn id="9" xr3:uid="{B7A1A6D7-AB51-4BC2-80C0-C61CD5892396}" uniqueName="9" name="Geraete (2).Standort" queryTableFieldId="9" dataDxfId="6" totalsRow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23D4-D729-4524-ADB7-F0FC9A0A2502}">
  <dimension ref="A1:D13"/>
  <sheetViews>
    <sheetView workbookViewId="0"/>
  </sheetViews>
  <sheetFormatPr baseColWidth="10" defaultRowHeight="14.25" x14ac:dyDescent="0.45"/>
  <cols>
    <col min="1" max="1" width="14.06640625" bestFit="1" customWidth="1"/>
    <col min="2" max="2" width="29.796875" bestFit="1" customWidth="1"/>
    <col min="3" max="3" width="10.46484375" bestFit="1" customWidth="1"/>
    <col min="4" max="4" width="9.796875" bestFit="1" customWidth="1"/>
  </cols>
  <sheetData>
    <row r="1" spans="1:4" x14ac:dyDescent="0.45">
      <c r="A1" s="4" t="s">
        <v>1</v>
      </c>
      <c r="B1" t="s">
        <v>69</v>
      </c>
      <c r="C1" t="s">
        <v>70</v>
      </c>
      <c r="D1" t="s">
        <v>32</v>
      </c>
    </row>
    <row r="2" spans="1:4" x14ac:dyDescent="0.45">
      <c r="A2">
        <v>1001</v>
      </c>
      <c r="B2" t="s">
        <v>71</v>
      </c>
      <c r="C2" t="s">
        <v>72</v>
      </c>
      <c r="D2" t="s">
        <v>36</v>
      </c>
    </row>
    <row r="3" spans="1:4" x14ac:dyDescent="0.45">
      <c r="A3">
        <v>1002</v>
      </c>
      <c r="B3" t="s">
        <v>73</v>
      </c>
      <c r="C3" t="s">
        <v>72</v>
      </c>
      <c r="D3" t="s">
        <v>36</v>
      </c>
    </row>
    <row r="4" spans="1:4" x14ac:dyDescent="0.45">
      <c r="A4">
        <v>1003</v>
      </c>
      <c r="B4" t="s">
        <v>74</v>
      </c>
      <c r="C4" t="s">
        <v>75</v>
      </c>
      <c r="D4" t="s">
        <v>49</v>
      </c>
    </row>
    <row r="5" spans="1:4" x14ac:dyDescent="0.45">
      <c r="A5">
        <v>1004</v>
      </c>
      <c r="B5" t="s">
        <v>76</v>
      </c>
      <c r="C5" t="s">
        <v>77</v>
      </c>
      <c r="D5" t="s">
        <v>49</v>
      </c>
    </row>
    <row r="6" spans="1:4" x14ac:dyDescent="0.45">
      <c r="A6">
        <v>1005</v>
      </c>
      <c r="B6" t="s">
        <v>78</v>
      </c>
      <c r="C6" t="s">
        <v>77</v>
      </c>
      <c r="D6" t="s">
        <v>36</v>
      </c>
    </row>
    <row r="7" spans="1:4" x14ac:dyDescent="0.45">
      <c r="A7">
        <v>1006</v>
      </c>
      <c r="B7" t="s">
        <v>79</v>
      </c>
      <c r="C7" t="s">
        <v>77</v>
      </c>
      <c r="D7" t="s">
        <v>49</v>
      </c>
    </row>
    <row r="8" spans="1:4" x14ac:dyDescent="0.45">
      <c r="A8">
        <v>1007</v>
      </c>
      <c r="B8" t="s">
        <v>80</v>
      </c>
      <c r="C8" t="s">
        <v>72</v>
      </c>
      <c r="D8" t="s">
        <v>36</v>
      </c>
    </row>
    <row r="9" spans="1:4" x14ac:dyDescent="0.45">
      <c r="A9">
        <v>1008</v>
      </c>
      <c r="B9" t="s">
        <v>81</v>
      </c>
      <c r="C9" t="s">
        <v>72</v>
      </c>
      <c r="D9" t="s">
        <v>49</v>
      </c>
    </row>
    <row r="10" spans="1:4" x14ac:dyDescent="0.45">
      <c r="A10">
        <v>1009</v>
      </c>
      <c r="B10" t="s">
        <v>82</v>
      </c>
      <c r="C10" t="s">
        <v>83</v>
      </c>
      <c r="D10" t="s">
        <v>49</v>
      </c>
    </row>
    <row r="11" spans="1:4" x14ac:dyDescent="0.45">
      <c r="A11">
        <v>1010</v>
      </c>
      <c r="B11" t="s">
        <v>84</v>
      </c>
      <c r="C11" t="s">
        <v>72</v>
      </c>
      <c r="D11" t="s">
        <v>49</v>
      </c>
    </row>
    <row r="12" spans="1:4" x14ac:dyDescent="0.45">
      <c r="A12">
        <v>1011</v>
      </c>
      <c r="B12" t="s">
        <v>85</v>
      </c>
      <c r="C12" t="s">
        <v>72</v>
      </c>
      <c r="D12" t="s">
        <v>49</v>
      </c>
    </row>
    <row r="13" spans="1:4" x14ac:dyDescent="0.45">
      <c r="A13">
        <v>1012</v>
      </c>
      <c r="B13" t="s">
        <v>86</v>
      </c>
      <c r="C13" t="s">
        <v>72</v>
      </c>
      <c r="D13" t="s">
        <v>39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F63A-D532-4D3E-9A5B-79653A1C7DDD}">
  <dimension ref="A1:F37"/>
  <sheetViews>
    <sheetView topLeftCell="A13" workbookViewId="0">
      <selection activeCell="D13" sqref="D13"/>
    </sheetView>
  </sheetViews>
  <sheetFormatPr baseColWidth="10" defaultRowHeight="14.25" x14ac:dyDescent="0.45"/>
  <cols>
    <col min="1" max="1" width="15.1328125" bestFit="1" customWidth="1"/>
    <col min="2" max="2" width="10.86328125" bestFit="1" customWidth="1"/>
    <col min="3" max="3" width="13.796875" bestFit="1" customWidth="1"/>
    <col min="4" max="4" width="11.59765625" bestFit="1" customWidth="1"/>
    <col min="5" max="5" width="15.59765625" style="3" bestFit="1" customWidth="1"/>
    <col min="6" max="6" width="9.796875" bestFit="1" customWidth="1"/>
  </cols>
  <sheetData>
    <row r="1" spans="1:6" x14ac:dyDescent="0.45">
      <c r="A1" t="s">
        <v>0</v>
      </c>
      <c r="B1" t="s">
        <v>28</v>
      </c>
      <c r="C1" t="s">
        <v>29</v>
      </c>
      <c r="D1" t="s">
        <v>30</v>
      </c>
      <c r="E1" s="3" t="s">
        <v>31</v>
      </c>
      <c r="F1" t="s">
        <v>32</v>
      </c>
    </row>
    <row r="2" spans="1:6" x14ac:dyDescent="0.45">
      <c r="A2" t="s">
        <v>33</v>
      </c>
      <c r="B2" t="s">
        <v>34</v>
      </c>
      <c r="C2" t="s">
        <v>35</v>
      </c>
      <c r="D2" s="5" t="s">
        <v>95</v>
      </c>
      <c r="E2" s="5">
        <v>1342.83</v>
      </c>
      <c r="F2" t="s">
        <v>36</v>
      </c>
    </row>
    <row r="3" spans="1:6" x14ac:dyDescent="0.45">
      <c r="A3" t="s">
        <v>37</v>
      </c>
      <c r="B3" t="s">
        <v>34</v>
      </c>
      <c r="C3" t="s">
        <v>38</v>
      </c>
      <c r="D3" s="5" t="s">
        <v>96</v>
      </c>
      <c r="E3" s="5">
        <v>1076.18</v>
      </c>
      <c r="F3" t="s">
        <v>39</v>
      </c>
    </row>
    <row r="4" spans="1:6" x14ac:dyDescent="0.45">
      <c r="A4" t="s">
        <v>40</v>
      </c>
      <c r="B4" t="s">
        <v>34</v>
      </c>
      <c r="C4" t="s">
        <v>41</v>
      </c>
      <c r="D4" s="5" t="s">
        <v>97</v>
      </c>
      <c r="E4" s="5">
        <v>1931.54</v>
      </c>
      <c r="F4" t="s">
        <v>39</v>
      </c>
    </row>
    <row r="5" spans="1:6" x14ac:dyDescent="0.45">
      <c r="A5" t="s">
        <v>22</v>
      </c>
      <c r="B5" t="s">
        <v>42</v>
      </c>
      <c r="C5" t="s">
        <v>43</v>
      </c>
      <c r="D5" s="5" t="s">
        <v>98</v>
      </c>
      <c r="E5" s="5">
        <v>1007.88</v>
      </c>
      <c r="F5" t="s">
        <v>39</v>
      </c>
    </row>
    <row r="6" spans="1:6" x14ac:dyDescent="0.45">
      <c r="A6" t="s">
        <v>9</v>
      </c>
      <c r="B6" t="s">
        <v>44</v>
      </c>
      <c r="C6" t="s">
        <v>45</v>
      </c>
      <c r="D6" s="5" t="s">
        <v>99</v>
      </c>
      <c r="E6" s="5">
        <v>823.23</v>
      </c>
      <c r="F6" t="s">
        <v>36</v>
      </c>
    </row>
    <row r="7" spans="1:6" x14ac:dyDescent="0.45">
      <c r="A7" t="s">
        <v>8</v>
      </c>
      <c r="B7" t="s">
        <v>46</v>
      </c>
      <c r="C7" t="s">
        <v>47</v>
      </c>
      <c r="D7" s="5" t="s">
        <v>100</v>
      </c>
      <c r="E7" s="5">
        <v>1257.96</v>
      </c>
      <c r="F7" t="s">
        <v>39</v>
      </c>
    </row>
    <row r="8" spans="1:6" x14ac:dyDescent="0.45">
      <c r="A8" t="s">
        <v>21</v>
      </c>
      <c r="B8" t="s">
        <v>42</v>
      </c>
      <c r="C8" t="s">
        <v>48</v>
      </c>
      <c r="D8" s="5" t="s">
        <v>101</v>
      </c>
      <c r="E8" s="5">
        <v>869.09</v>
      </c>
      <c r="F8" t="s">
        <v>49</v>
      </c>
    </row>
    <row r="9" spans="1:6" x14ac:dyDescent="0.45">
      <c r="A9" t="s">
        <v>50</v>
      </c>
      <c r="B9" t="s">
        <v>51</v>
      </c>
      <c r="C9" t="s">
        <v>52</v>
      </c>
      <c r="D9" s="5" t="s">
        <v>102</v>
      </c>
      <c r="E9" s="5">
        <v>1323.76</v>
      </c>
      <c r="F9" t="s">
        <v>49</v>
      </c>
    </row>
    <row r="10" spans="1:6" x14ac:dyDescent="0.45">
      <c r="A10" t="s">
        <v>10</v>
      </c>
      <c r="B10" t="s">
        <v>42</v>
      </c>
      <c r="C10" t="s">
        <v>43</v>
      </c>
      <c r="D10" s="5" t="s">
        <v>103</v>
      </c>
      <c r="E10" s="5">
        <v>1458.02</v>
      </c>
      <c r="F10" t="s">
        <v>39</v>
      </c>
    </row>
    <row r="11" spans="1:6" x14ac:dyDescent="0.45">
      <c r="A11" t="s">
        <v>53</v>
      </c>
      <c r="B11" t="s">
        <v>42</v>
      </c>
      <c r="C11" t="s">
        <v>43</v>
      </c>
      <c r="D11" s="5" t="s">
        <v>104</v>
      </c>
      <c r="E11" s="5">
        <v>1786.37</v>
      </c>
      <c r="F11" t="s">
        <v>39</v>
      </c>
    </row>
    <row r="12" spans="1:6" x14ac:dyDescent="0.45">
      <c r="A12" t="s">
        <v>11</v>
      </c>
      <c r="B12" t="s">
        <v>44</v>
      </c>
      <c r="C12" t="s">
        <v>54</v>
      </c>
      <c r="D12" s="5" t="s">
        <v>105</v>
      </c>
      <c r="E12" s="5">
        <v>1417.1</v>
      </c>
      <c r="F12" t="s">
        <v>39</v>
      </c>
    </row>
    <row r="13" spans="1:6" x14ac:dyDescent="0.45">
      <c r="A13" t="s">
        <v>55</v>
      </c>
      <c r="B13" t="s">
        <v>34</v>
      </c>
      <c r="C13" t="s">
        <v>35</v>
      </c>
      <c r="D13" s="5" t="s">
        <v>106</v>
      </c>
      <c r="E13" s="5">
        <v>968.43</v>
      </c>
      <c r="F13" t="s">
        <v>49</v>
      </c>
    </row>
    <row r="14" spans="1:6" x14ac:dyDescent="0.45">
      <c r="A14" t="s">
        <v>13</v>
      </c>
      <c r="B14" t="s">
        <v>44</v>
      </c>
      <c r="C14" t="s">
        <v>45</v>
      </c>
      <c r="D14" s="5" t="s">
        <v>107</v>
      </c>
      <c r="E14" s="5">
        <v>1898.65</v>
      </c>
      <c r="F14" t="s">
        <v>49</v>
      </c>
    </row>
    <row r="15" spans="1:6" x14ac:dyDescent="0.45">
      <c r="A15" t="s">
        <v>25</v>
      </c>
      <c r="B15" t="s">
        <v>42</v>
      </c>
      <c r="C15" t="s">
        <v>48</v>
      </c>
      <c r="D15" s="5" t="s">
        <v>108</v>
      </c>
      <c r="E15" s="5">
        <v>1415.97</v>
      </c>
      <c r="F15" t="s">
        <v>49</v>
      </c>
    </row>
    <row r="16" spans="1:6" x14ac:dyDescent="0.45">
      <c r="A16" t="s">
        <v>15</v>
      </c>
      <c r="B16" t="s">
        <v>46</v>
      </c>
      <c r="C16" t="s">
        <v>56</v>
      </c>
      <c r="D16" s="5" t="s">
        <v>109</v>
      </c>
      <c r="E16" s="5">
        <v>661.44</v>
      </c>
      <c r="F16" t="s">
        <v>39</v>
      </c>
    </row>
    <row r="17" spans="1:6" x14ac:dyDescent="0.45">
      <c r="A17" t="s">
        <v>7</v>
      </c>
      <c r="B17" t="s">
        <v>44</v>
      </c>
      <c r="C17" t="s">
        <v>45</v>
      </c>
      <c r="D17" s="5" t="s">
        <v>110</v>
      </c>
      <c r="E17" s="5">
        <v>1501.06</v>
      </c>
      <c r="F17" t="s">
        <v>36</v>
      </c>
    </row>
    <row r="18" spans="1:6" x14ac:dyDescent="0.45">
      <c r="A18" t="s">
        <v>57</v>
      </c>
      <c r="B18" t="s">
        <v>46</v>
      </c>
      <c r="C18" t="s">
        <v>47</v>
      </c>
      <c r="D18" s="5" t="s">
        <v>111</v>
      </c>
      <c r="E18" s="5">
        <v>1748.56</v>
      </c>
      <c r="F18" t="s">
        <v>36</v>
      </c>
    </row>
    <row r="19" spans="1:6" x14ac:dyDescent="0.45">
      <c r="A19" t="s">
        <v>17</v>
      </c>
      <c r="B19" t="s">
        <v>34</v>
      </c>
      <c r="C19" t="s">
        <v>41</v>
      </c>
      <c r="D19" s="5" t="s">
        <v>112</v>
      </c>
      <c r="E19" s="5">
        <v>1688.07</v>
      </c>
      <c r="F19" t="s">
        <v>39</v>
      </c>
    </row>
    <row r="20" spans="1:6" x14ac:dyDescent="0.45">
      <c r="A20" t="s">
        <v>58</v>
      </c>
      <c r="B20" t="s">
        <v>44</v>
      </c>
      <c r="C20" t="s">
        <v>59</v>
      </c>
      <c r="D20" s="5" t="s">
        <v>113</v>
      </c>
      <c r="E20" s="5">
        <v>737.57</v>
      </c>
      <c r="F20" t="s">
        <v>49</v>
      </c>
    </row>
    <row r="21" spans="1:6" x14ac:dyDescent="0.45">
      <c r="A21" t="s">
        <v>60</v>
      </c>
      <c r="B21" t="s">
        <v>46</v>
      </c>
      <c r="C21" t="s">
        <v>47</v>
      </c>
      <c r="D21" s="5" t="s">
        <v>114</v>
      </c>
      <c r="E21" s="5">
        <v>740.2</v>
      </c>
      <c r="F21" t="s">
        <v>39</v>
      </c>
    </row>
    <row r="22" spans="1:6" x14ac:dyDescent="0.45">
      <c r="A22" t="s">
        <v>5</v>
      </c>
      <c r="B22" t="s">
        <v>61</v>
      </c>
      <c r="C22" t="s">
        <v>62</v>
      </c>
      <c r="D22" s="5" t="s">
        <v>115</v>
      </c>
      <c r="E22" s="5">
        <v>1134.1600000000001</v>
      </c>
      <c r="F22" t="s">
        <v>39</v>
      </c>
    </row>
    <row r="23" spans="1:6" x14ac:dyDescent="0.45">
      <c r="A23" t="s">
        <v>16</v>
      </c>
      <c r="B23" t="s">
        <v>34</v>
      </c>
      <c r="C23" t="s">
        <v>41</v>
      </c>
      <c r="D23" s="5" t="s">
        <v>116</v>
      </c>
      <c r="E23" s="5">
        <v>1591.98</v>
      </c>
      <c r="F23" t="s">
        <v>49</v>
      </c>
    </row>
    <row r="24" spans="1:6" x14ac:dyDescent="0.45">
      <c r="A24" t="s">
        <v>63</v>
      </c>
      <c r="B24" t="s">
        <v>44</v>
      </c>
      <c r="C24" t="s">
        <v>45</v>
      </c>
      <c r="D24" s="5" t="s">
        <v>117</v>
      </c>
      <c r="E24" s="5">
        <v>1335.34</v>
      </c>
      <c r="F24" t="s">
        <v>49</v>
      </c>
    </row>
    <row r="25" spans="1:6" x14ac:dyDescent="0.45">
      <c r="A25" t="s">
        <v>6</v>
      </c>
      <c r="B25" t="s">
        <v>61</v>
      </c>
      <c r="C25" t="s">
        <v>64</v>
      </c>
      <c r="D25" s="5" t="s">
        <v>118</v>
      </c>
      <c r="E25" s="5">
        <v>750.91</v>
      </c>
      <c r="F25" t="s">
        <v>36</v>
      </c>
    </row>
    <row r="26" spans="1:6" x14ac:dyDescent="0.45">
      <c r="A26" t="s">
        <v>23</v>
      </c>
      <c r="B26" t="s">
        <v>51</v>
      </c>
      <c r="C26" t="s">
        <v>52</v>
      </c>
      <c r="D26" s="5" t="s">
        <v>119</v>
      </c>
      <c r="E26" s="5">
        <v>545.46</v>
      </c>
      <c r="F26" t="s">
        <v>36</v>
      </c>
    </row>
    <row r="27" spans="1:6" x14ac:dyDescent="0.45">
      <c r="A27" t="s">
        <v>65</v>
      </c>
      <c r="B27" t="s">
        <v>42</v>
      </c>
      <c r="C27" t="s">
        <v>43</v>
      </c>
      <c r="D27" s="5" t="s">
        <v>120</v>
      </c>
      <c r="E27" s="5">
        <v>1403.91</v>
      </c>
      <c r="F27" t="s">
        <v>49</v>
      </c>
    </row>
    <row r="28" spans="1:6" x14ac:dyDescent="0.45">
      <c r="A28" t="s">
        <v>19</v>
      </c>
      <c r="B28" t="s">
        <v>61</v>
      </c>
      <c r="C28" t="s">
        <v>62</v>
      </c>
      <c r="D28" s="5" t="s">
        <v>121</v>
      </c>
      <c r="E28" s="5">
        <v>501.64</v>
      </c>
      <c r="F28" t="s">
        <v>39</v>
      </c>
    </row>
    <row r="29" spans="1:6" x14ac:dyDescent="0.45">
      <c r="A29" t="s">
        <v>12</v>
      </c>
      <c r="B29" t="s">
        <v>51</v>
      </c>
      <c r="C29" t="s">
        <v>52</v>
      </c>
      <c r="D29" s="5" t="s">
        <v>122</v>
      </c>
      <c r="E29" s="5">
        <v>1246.58</v>
      </c>
      <c r="F29" t="s">
        <v>49</v>
      </c>
    </row>
    <row r="30" spans="1:6" x14ac:dyDescent="0.45">
      <c r="A30" t="s">
        <v>14</v>
      </c>
      <c r="B30" t="s">
        <v>42</v>
      </c>
      <c r="C30" t="s">
        <v>48</v>
      </c>
      <c r="D30" s="5" t="s">
        <v>123</v>
      </c>
      <c r="E30" s="5">
        <v>1553.15</v>
      </c>
      <c r="F30" t="s">
        <v>49</v>
      </c>
    </row>
    <row r="31" spans="1:6" x14ac:dyDescent="0.45">
      <c r="A31" t="s">
        <v>20</v>
      </c>
      <c r="B31" t="s">
        <v>51</v>
      </c>
      <c r="C31" t="s">
        <v>52</v>
      </c>
      <c r="D31" s="5" t="s">
        <v>124</v>
      </c>
      <c r="E31" s="5">
        <v>1629.76</v>
      </c>
      <c r="F31" t="s">
        <v>39</v>
      </c>
    </row>
    <row r="32" spans="1:6" x14ac:dyDescent="0.45">
      <c r="A32" t="s">
        <v>18</v>
      </c>
      <c r="B32" t="s">
        <v>42</v>
      </c>
      <c r="C32" t="s">
        <v>66</v>
      </c>
      <c r="D32" s="5" t="s">
        <v>125</v>
      </c>
      <c r="E32" s="5">
        <v>1095.6199999999999</v>
      </c>
      <c r="F32" t="s">
        <v>39</v>
      </c>
    </row>
    <row r="33" spans="1:6" x14ac:dyDescent="0.45">
      <c r="A33" t="s">
        <v>24</v>
      </c>
      <c r="B33" t="s">
        <v>42</v>
      </c>
      <c r="C33" t="s">
        <v>48</v>
      </c>
      <c r="D33" s="5" t="s">
        <v>126</v>
      </c>
      <c r="E33" s="5">
        <v>1801.36</v>
      </c>
      <c r="F33" t="s">
        <v>39</v>
      </c>
    </row>
    <row r="34" spans="1:6" x14ac:dyDescent="0.45">
      <c r="A34" t="s">
        <v>26</v>
      </c>
      <c r="B34" t="s">
        <v>51</v>
      </c>
      <c r="C34" t="s">
        <v>67</v>
      </c>
      <c r="D34" s="5" t="s">
        <v>127</v>
      </c>
      <c r="E34" s="5">
        <v>1212.29</v>
      </c>
      <c r="F34" t="s">
        <v>36</v>
      </c>
    </row>
    <row r="35" spans="1:6" x14ac:dyDescent="0.45">
      <c r="A35" t="s">
        <v>68</v>
      </c>
      <c r="B35" t="s">
        <v>46</v>
      </c>
      <c r="C35" t="s">
        <v>47</v>
      </c>
      <c r="D35" s="5" t="s">
        <v>128</v>
      </c>
      <c r="E35" s="5">
        <v>1746.67</v>
      </c>
      <c r="F35" t="s">
        <v>49</v>
      </c>
    </row>
    <row r="36" spans="1:6" x14ac:dyDescent="0.45">
      <c r="A36" t="s">
        <v>4</v>
      </c>
      <c r="B36" t="s">
        <v>51</v>
      </c>
      <c r="C36" t="s">
        <v>67</v>
      </c>
      <c r="D36" s="5" t="s">
        <v>129</v>
      </c>
      <c r="E36" s="5">
        <v>644.54</v>
      </c>
      <c r="F36" t="s">
        <v>36</v>
      </c>
    </row>
    <row r="37" spans="1:6" x14ac:dyDescent="0.45">
      <c r="A37" t="s">
        <v>27</v>
      </c>
      <c r="B37" t="s">
        <v>27</v>
      </c>
      <c r="C37" t="s">
        <v>27</v>
      </c>
      <c r="D37" s="5" t="s">
        <v>27</v>
      </c>
      <c r="E37" s="5"/>
      <c r="F37" t="s">
        <v>27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6834-93AF-46F6-AE6E-D5B715B3450B}">
  <dimension ref="A1:D46"/>
  <sheetViews>
    <sheetView topLeftCell="A25" zoomScale="87" zoomScaleNormal="100" workbookViewId="0">
      <selection activeCell="H43" sqref="H43"/>
    </sheetView>
  </sheetViews>
  <sheetFormatPr baseColWidth="10" defaultRowHeight="14.25" x14ac:dyDescent="0.45"/>
  <cols>
    <col min="1" max="1" width="12.9296875" bestFit="1" customWidth="1"/>
    <col min="2" max="2" width="11.86328125" style="2" bestFit="1" customWidth="1"/>
    <col min="3" max="3" width="10.3984375" style="1" bestFit="1" customWidth="1"/>
    <col min="4" max="4" width="11.3984375" style="1" bestFit="1" customWidth="1"/>
  </cols>
  <sheetData>
    <row r="1" spans="1:4" x14ac:dyDescent="0.45">
      <c r="A1" t="s">
        <v>0</v>
      </c>
      <c r="B1" s="2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s="2">
        <v>1009</v>
      </c>
      <c r="C2" s="1">
        <v>45421</v>
      </c>
    </row>
    <row r="3" spans="1:4" x14ac:dyDescent="0.45">
      <c r="A3" t="s">
        <v>5</v>
      </c>
      <c r="B3" s="2">
        <v>1008</v>
      </c>
      <c r="C3" s="1">
        <v>45930</v>
      </c>
      <c r="D3" s="1">
        <v>45935</v>
      </c>
    </row>
    <row r="4" spans="1:4" x14ac:dyDescent="0.45">
      <c r="A4" t="s">
        <v>6</v>
      </c>
      <c r="B4" s="2">
        <v>1005</v>
      </c>
      <c r="C4" s="1">
        <v>45743</v>
      </c>
      <c r="D4" s="1">
        <v>45868</v>
      </c>
    </row>
    <row r="5" spans="1:4" x14ac:dyDescent="0.45">
      <c r="A5" t="s">
        <v>7</v>
      </c>
      <c r="B5" s="2">
        <v>1010</v>
      </c>
      <c r="C5" s="1">
        <v>45866</v>
      </c>
    </row>
    <row r="6" spans="1:4" x14ac:dyDescent="0.45">
      <c r="A6" t="s">
        <v>8</v>
      </c>
      <c r="B6" s="2">
        <v>1012</v>
      </c>
      <c r="C6" s="1">
        <v>45808</v>
      </c>
      <c r="D6" s="1">
        <v>45818</v>
      </c>
    </row>
    <row r="7" spans="1:4" x14ac:dyDescent="0.45">
      <c r="A7" t="s">
        <v>9</v>
      </c>
      <c r="B7" s="2">
        <v>1009</v>
      </c>
      <c r="C7" s="1">
        <v>45389</v>
      </c>
    </row>
    <row r="8" spans="1:4" x14ac:dyDescent="0.45">
      <c r="A8" t="s">
        <v>10</v>
      </c>
      <c r="B8" s="2">
        <v>1011</v>
      </c>
      <c r="C8" s="1">
        <v>45850</v>
      </c>
      <c r="D8" s="1">
        <v>45853</v>
      </c>
    </row>
    <row r="9" spans="1:4" x14ac:dyDescent="0.45">
      <c r="A9" t="s">
        <v>11</v>
      </c>
      <c r="B9" s="2">
        <v>1005</v>
      </c>
      <c r="C9" s="1">
        <v>45837</v>
      </c>
      <c r="D9" s="1">
        <v>45898</v>
      </c>
    </row>
    <row r="10" spans="1:4" x14ac:dyDescent="0.45">
      <c r="A10" t="s">
        <v>12</v>
      </c>
      <c r="B10" s="2">
        <v>1004</v>
      </c>
      <c r="C10" s="1">
        <v>45523</v>
      </c>
    </row>
    <row r="11" spans="1:4" x14ac:dyDescent="0.45">
      <c r="A11" t="s">
        <v>13</v>
      </c>
      <c r="B11" s="2">
        <v>1012</v>
      </c>
      <c r="C11" s="1">
        <v>45419</v>
      </c>
      <c r="D11" s="1">
        <v>45470</v>
      </c>
    </row>
    <row r="12" spans="1:4" x14ac:dyDescent="0.45">
      <c r="A12" t="s">
        <v>6</v>
      </c>
      <c r="B12" s="2">
        <v>1008</v>
      </c>
      <c r="C12" s="1">
        <v>45375</v>
      </c>
    </row>
    <row r="13" spans="1:4" x14ac:dyDescent="0.45">
      <c r="A13" t="s">
        <v>14</v>
      </c>
      <c r="B13" s="2">
        <v>1002</v>
      </c>
      <c r="C13" s="1">
        <v>45921</v>
      </c>
      <c r="D13" s="1">
        <v>45934</v>
      </c>
    </row>
    <row r="14" spans="1:4" x14ac:dyDescent="0.45">
      <c r="A14" t="s">
        <v>9</v>
      </c>
      <c r="B14" s="2">
        <v>1006</v>
      </c>
      <c r="C14" s="1">
        <v>45892</v>
      </c>
      <c r="D14" s="1">
        <v>45922</v>
      </c>
    </row>
    <row r="15" spans="1:4" x14ac:dyDescent="0.45">
      <c r="A15" t="s">
        <v>15</v>
      </c>
      <c r="B15" s="2">
        <v>1010</v>
      </c>
      <c r="C15" s="1">
        <v>45377</v>
      </c>
      <c r="D15" s="1">
        <v>45886</v>
      </c>
    </row>
    <row r="16" spans="1:4" x14ac:dyDescent="0.45">
      <c r="A16" t="s">
        <v>9</v>
      </c>
      <c r="B16" s="2">
        <v>1012</v>
      </c>
      <c r="C16" s="1">
        <v>45599</v>
      </c>
    </row>
    <row r="17" spans="1:4" x14ac:dyDescent="0.45">
      <c r="A17" t="s">
        <v>15</v>
      </c>
      <c r="B17" s="2">
        <v>1002</v>
      </c>
      <c r="C17" s="1">
        <v>45519</v>
      </c>
    </row>
    <row r="18" spans="1:4" x14ac:dyDescent="0.45">
      <c r="A18" t="s">
        <v>16</v>
      </c>
      <c r="B18" s="2">
        <v>1002</v>
      </c>
      <c r="C18" s="1">
        <v>45899</v>
      </c>
      <c r="D18" s="1">
        <v>45930</v>
      </c>
    </row>
    <row r="19" spans="1:4" x14ac:dyDescent="0.45">
      <c r="A19" t="s">
        <v>17</v>
      </c>
      <c r="B19" s="2">
        <v>1011</v>
      </c>
      <c r="C19" s="1">
        <v>45568</v>
      </c>
      <c r="D19" s="1">
        <v>45623</v>
      </c>
    </row>
    <row r="20" spans="1:4" x14ac:dyDescent="0.45">
      <c r="A20" t="s">
        <v>4</v>
      </c>
      <c r="B20" s="2">
        <v>1003</v>
      </c>
      <c r="C20" s="1">
        <v>45417</v>
      </c>
    </row>
    <row r="21" spans="1:4" x14ac:dyDescent="0.45">
      <c r="A21" t="s">
        <v>18</v>
      </c>
      <c r="B21" s="2">
        <v>1004</v>
      </c>
      <c r="C21" s="1">
        <v>45320</v>
      </c>
    </row>
    <row r="22" spans="1:4" x14ac:dyDescent="0.45">
      <c r="A22" t="s">
        <v>19</v>
      </c>
      <c r="B22" s="2">
        <v>1004</v>
      </c>
      <c r="C22" s="1">
        <v>45403</v>
      </c>
      <c r="D22" s="1">
        <v>45839</v>
      </c>
    </row>
    <row r="23" spans="1:4" x14ac:dyDescent="0.45">
      <c r="A23" t="s">
        <v>12</v>
      </c>
      <c r="B23" s="2">
        <v>1006</v>
      </c>
      <c r="C23" s="1">
        <v>45630</v>
      </c>
      <c r="D23" s="1">
        <v>45732</v>
      </c>
    </row>
    <row r="24" spans="1:4" x14ac:dyDescent="0.45">
      <c r="A24" t="s">
        <v>20</v>
      </c>
      <c r="B24" s="2">
        <v>1012</v>
      </c>
      <c r="C24" s="1">
        <v>45792</v>
      </c>
      <c r="D24" s="1">
        <v>45905</v>
      </c>
    </row>
    <row r="25" spans="1:4" x14ac:dyDescent="0.45">
      <c r="A25" t="s">
        <v>21</v>
      </c>
      <c r="B25" s="2">
        <v>1001</v>
      </c>
      <c r="C25" s="1">
        <v>45544</v>
      </c>
      <c r="D25" s="1">
        <v>45854</v>
      </c>
    </row>
    <row r="26" spans="1:4" x14ac:dyDescent="0.45">
      <c r="A26" t="s">
        <v>16</v>
      </c>
      <c r="B26" s="2">
        <v>1002</v>
      </c>
      <c r="C26" s="1">
        <v>45493</v>
      </c>
      <c r="D26" s="1">
        <v>45663</v>
      </c>
    </row>
    <row r="27" spans="1:4" x14ac:dyDescent="0.45">
      <c r="A27" t="s">
        <v>13</v>
      </c>
      <c r="B27" s="2">
        <v>1009</v>
      </c>
      <c r="C27" s="1">
        <v>45319</v>
      </c>
      <c r="D27" s="1">
        <v>45714</v>
      </c>
    </row>
    <row r="28" spans="1:4" x14ac:dyDescent="0.45">
      <c r="A28" t="s">
        <v>12</v>
      </c>
      <c r="B28" s="2">
        <v>1003</v>
      </c>
      <c r="C28" s="1">
        <v>45595</v>
      </c>
      <c r="D28" s="1">
        <v>45630</v>
      </c>
    </row>
    <row r="29" spans="1:4" x14ac:dyDescent="0.45">
      <c r="A29" t="s">
        <v>7</v>
      </c>
      <c r="B29" s="2">
        <v>1002</v>
      </c>
      <c r="C29" s="1">
        <v>45799</v>
      </c>
      <c r="D29" s="1">
        <v>45808</v>
      </c>
    </row>
    <row r="30" spans="1:4" x14ac:dyDescent="0.45">
      <c r="A30" t="s">
        <v>21</v>
      </c>
      <c r="B30" s="2">
        <v>1001</v>
      </c>
      <c r="C30" s="1">
        <v>45880</v>
      </c>
    </row>
    <row r="31" spans="1:4" x14ac:dyDescent="0.45">
      <c r="A31" t="s">
        <v>4</v>
      </c>
      <c r="B31" s="2">
        <v>1001</v>
      </c>
      <c r="C31" s="1">
        <v>45297</v>
      </c>
    </row>
    <row r="32" spans="1:4" x14ac:dyDescent="0.45">
      <c r="A32" t="s">
        <v>7</v>
      </c>
      <c r="B32" s="2">
        <v>1003</v>
      </c>
      <c r="C32" s="1">
        <v>45330</v>
      </c>
      <c r="D32" s="1">
        <v>45817</v>
      </c>
    </row>
    <row r="33" spans="1:4" x14ac:dyDescent="0.45">
      <c r="A33" t="s">
        <v>18</v>
      </c>
      <c r="B33" s="2">
        <v>1004</v>
      </c>
      <c r="C33" s="1">
        <v>45336</v>
      </c>
    </row>
    <row r="34" spans="1:4" x14ac:dyDescent="0.45">
      <c r="A34" t="s">
        <v>22</v>
      </c>
      <c r="B34" s="2">
        <v>1003</v>
      </c>
      <c r="C34" s="1">
        <v>45827</v>
      </c>
      <c r="D34" s="1">
        <v>45908</v>
      </c>
    </row>
    <row r="35" spans="1:4" x14ac:dyDescent="0.45">
      <c r="A35" t="s">
        <v>23</v>
      </c>
      <c r="B35" s="2">
        <v>1005</v>
      </c>
      <c r="C35" s="1">
        <v>45675</v>
      </c>
    </row>
    <row r="36" spans="1:4" x14ac:dyDescent="0.45">
      <c r="A36" t="s">
        <v>20</v>
      </c>
      <c r="B36" s="2">
        <v>1005</v>
      </c>
      <c r="C36" s="1">
        <v>45261</v>
      </c>
      <c r="D36" s="1">
        <v>45559</v>
      </c>
    </row>
    <row r="37" spans="1:4" x14ac:dyDescent="0.45">
      <c r="A37" t="s">
        <v>24</v>
      </c>
      <c r="B37" s="2">
        <v>1003</v>
      </c>
      <c r="C37" s="1">
        <v>45508</v>
      </c>
      <c r="D37" s="1">
        <v>45871</v>
      </c>
    </row>
    <row r="38" spans="1:4" x14ac:dyDescent="0.45">
      <c r="A38" t="s">
        <v>25</v>
      </c>
      <c r="B38" s="2">
        <v>1001</v>
      </c>
      <c r="C38" s="1">
        <v>45622</v>
      </c>
      <c r="D38" s="1">
        <v>45719</v>
      </c>
    </row>
    <row r="39" spans="1:4" x14ac:dyDescent="0.45">
      <c r="A39" t="s">
        <v>4</v>
      </c>
      <c r="B39" s="2">
        <v>1001</v>
      </c>
      <c r="C39" s="1">
        <v>45641</v>
      </c>
    </row>
    <row r="40" spans="1:4" x14ac:dyDescent="0.45">
      <c r="A40" t="s">
        <v>22</v>
      </c>
      <c r="B40" s="2">
        <v>1001</v>
      </c>
      <c r="C40" s="1">
        <v>45880</v>
      </c>
      <c r="D40" s="1">
        <v>45881</v>
      </c>
    </row>
    <row r="41" spans="1:4" x14ac:dyDescent="0.45">
      <c r="A41" t="s">
        <v>26</v>
      </c>
      <c r="B41" s="2">
        <v>1009</v>
      </c>
      <c r="C41" s="1">
        <v>45740</v>
      </c>
      <c r="D41" s="1">
        <v>45784</v>
      </c>
    </row>
    <row r="42" spans="1:4" x14ac:dyDescent="0.45">
      <c r="A42" t="s">
        <v>26</v>
      </c>
      <c r="B42" s="2">
        <v>1002</v>
      </c>
      <c r="C42" s="1">
        <v>45741</v>
      </c>
    </row>
    <row r="43" spans="1:4" x14ac:dyDescent="0.45">
      <c r="A43" t="s">
        <v>9</v>
      </c>
      <c r="B43" s="2">
        <v>1010</v>
      </c>
      <c r="C43" s="1">
        <v>45899</v>
      </c>
      <c r="D43" s="1">
        <v>45925</v>
      </c>
    </row>
    <row r="44" spans="1:4" x14ac:dyDescent="0.45">
      <c r="A44" t="s">
        <v>7</v>
      </c>
      <c r="B44" s="2">
        <v>1007</v>
      </c>
      <c r="C44" s="1">
        <v>45795</v>
      </c>
      <c r="D44" s="1">
        <v>45846</v>
      </c>
    </row>
    <row r="45" spans="1:4" x14ac:dyDescent="0.45">
      <c r="A45" t="s">
        <v>7</v>
      </c>
      <c r="B45" s="2">
        <v>1010</v>
      </c>
      <c r="C45" s="1">
        <v>45808</v>
      </c>
      <c r="D45" s="1">
        <v>45932</v>
      </c>
    </row>
    <row r="46" spans="1:4" x14ac:dyDescent="0.45">
      <c r="A46" t="s">
        <v>8</v>
      </c>
      <c r="B46" s="2">
        <v>1007</v>
      </c>
      <c r="C46" s="1">
        <v>45476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3EBD-5871-437A-B4BE-B140C1D084F5}">
  <dimension ref="A1:I11"/>
  <sheetViews>
    <sheetView workbookViewId="0"/>
  </sheetViews>
  <sheetFormatPr baseColWidth="10" defaultRowHeight="14.25" x14ac:dyDescent="0.45"/>
  <cols>
    <col min="1" max="1" width="15.1328125" bestFit="1" customWidth="1"/>
    <col min="2" max="2" width="14.06640625" bestFit="1" customWidth="1"/>
    <col min="3" max="4" width="14.6640625" bestFit="1" customWidth="1"/>
    <col min="5" max="5" width="20.46484375" bestFit="1" customWidth="1"/>
    <col min="6" max="6" width="18" bestFit="1" customWidth="1"/>
    <col min="7" max="7" width="21.19921875" bestFit="1" customWidth="1"/>
    <col min="8" max="8" width="25.265625" bestFit="1" customWidth="1"/>
    <col min="9" max="9" width="19.39843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</row>
    <row r="2" spans="1:9" x14ac:dyDescent="0.45">
      <c r="A2" s="5" t="s">
        <v>22</v>
      </c>
      <c r="B2">
        <v>1003</v>
      </c>
      <c r="C2" s="6">
        <v>45827</v>
      </c>
      <c r="D2" s="6">
        <v>45908</v>
      </c>
      <c r="E2" s="5" t="s">
        <v>42</v>
      </c>
      <c r="F2" s="5" t="s">
        <v>43</v>
      </c>
      <c r="G2">
        <v>5052025</v>
      </c>
      <c r="H2">
        <v>1007.88</v>
      </c>
      <c r="I2" s="5" t="s">
        <v>39</v>
      </c>
    </row>
    <row r="3" spans="1:9" x14ac:dyDescent="0.45">
      <c r="A3" s="5" t="s">
        <v>10</v>
      </c>
      <c r="B3">
        <v>1011</v>
      </c>
      <c r="C3" s="6">
        <v>45850</v>
      </c>
      <c r="D3" s="6">
        <v>45853</v>
      </c>
      <c r="E3" s="5" t="s">
        <v>42</v>
      </c>
      <c r="F3" s="5" t="s">
        <v>43</v>
      </c>
      <c r="G3">
        <v>10042023</v>
      </c>
      <c r="H3">
        <v>1458.02</v>
      </c>
      <c r="I3" s="5" t="s">
        <v>39</v>
      </c>
    </row>
    <row r="4" spans="1:9" x14ac:dyDescent="0.45">
      <c r="A4" s="5" t="s">
        <v>21</v>
      </c>
      <c r="B4">
        <v>1001</v>
      </c>
      <c r="C4" s="6">
        <v>45544</v>
      </c>
      <c r="D4" s="6">
        <v>45854</v>
      </c>
      <c r="E4" s="5" t="s">
        <v>42</v>
      </c>
      <c r="F4" s="5" t="s">
        <v>48</v>
      </c>
      <c r="G4">
        <v>13062021</v>
      </c>
      <c r="H4">
        <v>869.09</v>
      </c>
      <c r="I4" s="5" t="s">
        <v>49</v>
      </c>
    </row>
    <row r="5" spans="1:9" x14ac:dyDescent="0.45">
      <c r="A5" s="5" t="s">
        <v>21</v>
      </c>
      <c r="B5">
        <v>1001</v>
      </c>
      <c r="C5" s="6">
        <v>45880</v>
      </c>
      <c r="D5" s="6"/>
      <c r="E5" s="5" t="s">
        <v>42</v>
      </c>
      <c r="F5" s="5" t="s">
        <v>48</v>
      </c>
      <c r="G5">
        <v>13062021</v>
      </c>
      <c r="H5">
        <v>869.09</v>
      </c>
      <c r="I5" s="5" t="s">
        <v>49</v>
      </c>
    </row>
    <row r="6" spans="1:9" x14ac:dyDescent="0.45">
      <c r="A6" s="5" t="s">
        <v>14</v>
      </c>
      <c r="B6">
        <v>1002</v>
      </c>
      <c r="C6" s="6">
        <v>45921</v>
      </c>
      <c r="D6" s="6">
        <v>45934</v>
      </c>
      <c r="E6" s="5" t="s">
        <v>42</v>
      </c>
      <c r="F6" s="5" t="s">
        <v>48</v>
      </c>
      <c r="G6">
        <v>21052021</v>
      </c>
      <c r="H6">
        <v>1553.15</v>
      </c>
      <c r="I6" s="5" t="s">
        <v>49</v>
      </c>
    </row>
    <row r="7" spans="1:9" x14ac:dyDescent="0.45">
      <c r="A7" s="5" t="s">
        <v>25</v>
      </c>
      <c r="B7">
        <v>1001</v>
      </c>
      <c r="C7" s="6">
        <v>45622</v>
      </c>
      <c r="D7" s="6">
        <v>45719</v>
      </c>
      <c r="E7" s="5" t="s">
        <v>42</v>
      </c>
      <c r="F7" s="5" t="s">
        <v>48</v>
      </c>
      <c r="G7">
        <v>3032021</v>
      </c>
      <c r="H7">
        <v>1415.97</v>
      </c>
      <c r="I7" s="5" t="s">
        <v>49</v>
      </c>
    </row>
    <row r="8" spans="1:9" x14ac:dyDescent="0.45">
      <c r="A8" s="5" t="s">
        <v>18</v>
      </c>
      <c r="B8">
        <v>1004</v>
      </c>
      <c r="C8" s="6">
        <v>45320</v>
      </c>
      <c r="D8" s="6"/>
      <c r="E8" s="5" t="s">
        <v>42</v>
      </c>
      <c r="F8" s="5" t="s">
        <v>66</v>
      </c>
      <c r="G8">
        <v>28042025</v>
      </c>
      <c r="H8">
        <v>1095.6199999999999</v>
      </c>
      <c r="I8" s="5" t="s">
        <v>39</v>
      </c>
    </row>
    <row r="9" spans="1:9" x14ac:dyDescent="0.45">
      <c r="A9" s="5" t="s">
        <v>18</v>
      </c>
      <c r="B9">
        <v>1004</v>
      </c>
      <c r="C9" s="6">
        <v>45336</v>
      </c>
      <c r="D9" s="6"/>
      <c r="E9" s="5" t="s">
        <v>42</v>
      </c>
      <c r="F9" s="5" t="s">
        <v>66</v>
      </c>
      <c r="G9">
        <v>28042025</v>
      </c>
      <c r="H9">
        <v>1095.6199999999999</v>
      </c>
      <c r="I9" s="5" t="s">
        <v>39</v>
      </c>
    </row>
    <row r="10" spans="1:9" x14ac:dyDescent="0.45">
      <c r="A10" s="5" t="s">
        <v>24</v>
      </c>
      <c r="B10">
        <v>1003</v>
      </c>
      <c r="C10" s="6">
        <v>45508</v>
      </c>
      <c r="D10" s="6">
        <v>45871</v>
      </c>
      <c r="E10" s="5" t="s">
        <v>42</v>
      </c>
      <c r="F10" s="5" t="s">
        <v>48</v>
      </c>
      <c r="G10">
        <v>11112022</v>
      </c>
      <c r="H10">
        <v>1801.36</v>
      </c>
      <c r="I10" s="5" t="s">
        <v>39</v>
      </c>
    </row>
    <row r="11" spans="1:9" x14ac:dyDescent="0.45">
      <c r="A11" s="5" t="s">
        <v>22</v>
      </c>
      <c r="B11">
        <v>1001</v>
      </c>
      <c r="C11" s="6">
        <v>45880</v>
      </c>
      <c r="D11" s="6">
        <v>45881</v>
      </c>
      <c r="E11" s="5" t="s">
        <v>42</v>
      </c>
      <c r="F11" s="5" t="s">
        <v>43</v>
      </c>
      <c r="G11">
        <v>5052025</v>
      </c>
      <c r="H11">
        <v>1007.88</v>
      </c>
      <c r="I11" s="5" t="s">
        <v>39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0511-66C9-42F0-BD6E-E0A3E07A2DD9}">
  <dimension ref="A1:K46"/>
  <sheetViews>
    <sheetView zoomScale="84" workbookViewId="0">
      <selection activeCell="C7" sqref="C7"/>
    </sheetView>
  </sheetViews>
  <sheetFormatPr baseColWidth="10" defaultRowHeight="14.25" x14ac:dyDescent="0.45"/>
  <cols>
    <col min="1" max="1" width="15.9296875" bestFit="1" customWidth="1"/>
    <col min="2" max="2" width="14.9296875" bestFit="1" customWidth="1"/>
    <col min="3" max="3" width="13.3984375" style="1" bestFit="1" customWidth="1"/>
    <col min="4" max="4" width="14.3984375" bestFit="1" customWidth="1"/>
    <col min="5" max="5" width="21.46484375" bestFit="1" customWidth="1"/>
    <col min="6" max="6" width="19.06640625" bestFit="1" customWidth="1"/>
    <col min="7" max="7" width="22.3984375" bestFit="1" customWidth="1"/>
    <col min="8" max="8" width="26.46484375" style="5" bestFit="1" customWidth="1"/>
    <col min="9" max="9" width="20.3984375" bestFit="1" customWidth="1"/>
    <col min="11" max="11" width="10.6640625" style="4"/>
  </cols>
  <sheetData>
    <row r="1" spans="1:9" x14ac:dyDescent="0.45">
      <c r="A1" t="s">
        <v>0</v>
      </c>
      <c r="B1" t="s">
        <v>1</v>
      </c>
      <c r="C1" s="1" t="s">
        <v>2</v>
      </c>
      <c r="D1" t="s">
        <v>3</v>
      </c>
      <c r="E1" t="s">
        <v>87</v>
      </c>
      <c r="F1" t="s">
        <v>88</v>
      </c>
      <c r="G1" t="s">
        <v>89</v>
      </c>
      <c r="H1" s="5" t="s">
        <v>90</v>
      </c>
      <c r="I1" t="s">
        <v>91</v>
      </c>
    </row>
    <row r="2" spans="1:9" x14ac:dyDescent="0.45">
      <c r="A2" t="s">
        <v>4</v>
      </c>
      <c r="B2">
        <v>1009</v>
      </c>
      <c r="C2" s="1">
        <v>45421</v>
      </c>
      <c r="D2" s="1"/>
      <c r="E2" t="s">
        <v>51</v>
      </c>
      <c r="F2" t="s">
        <v>67</v>
      </c>
      <c r="G2" s="5" t="s">
        <v>129</v>
      </c>
      <c r="H2" s="5">
        <v>644.54</v>
      </c>
      <c r="I2" t="s">
        <v>36</v>
      </c>
    </row>
    <row r="3" spans="1:9" x14ac:dyDescent="0.45">
      <c r="A3" t="s">
        <v>4</v>
      </c>
      <c r="B3">
        <v>1003</v>
      </c>
      <c r="C3" s="1">
        <v>45417</v>
      </c>
      <c r="D3" s="1"/>
      <c r="E3" t="s">
        <v>51</v>
      </c>
      <c r="F3" t="s">
        <v>67</v>
      </c>
      <c r="G3" s="5" t="s">
        <v>129</v>
      </c>
      <c r="H3" s="5">
        <v>644.54</v>
      </c>
      <c r="I3" t="s">
        <v>36</v>
      </c>
    </row>
    <row r="4" spans="1:9" x14ac:dyDescent="0.45">
      <c r="A4" t="s">
        <v>4</v>
      </c>
      <c r="B4">
        <v>1001</v>
      </c>
      <c r="C4" s="1">
        <v>45297</v>
      </c>
      <c r="D4" s="1"/>
      <c r="E4" t="s">
        <v>51</v>
      </c>
      <c r="F4" t="s">
        <v>67</v>
      </c>
      <c r="G4" s="5" t="s">
        <v>129</v>
      </c>
      <c r="H4" s="5">
        <v>644.54</v>
      </c>
      <c r="I4" t="s">
        <v>36</v>
      </c>
    </row>
    <row r="5" spans="1:9" x14ac:dyDescent="0.45">
      <c r="A5" t="s">
        <v>5</v>
      </c>
      <c r="B5">
        <v>1008</v>
      </c>
      <c r="C5" s="1">
        <v>45930</v>
      </c>
      <c r="D5" s="1">
        <v>45935</v>
      </c>
      <c r="E5" t="s">
        <v>61</v>
      </c>
      <c r="F5" t="s">
        <v>62</v>
      </c>
      <c r="G5" s="5" t="s">
        <v>115</v>
      </c>
      <c r="H5" s="5">
        <v>1134.1600000000001</v>
      </c>
      <c r="I5" t="s">
        <v>39</v>
      </c>
    </row>
    <row r="6" spans="1:9" x14ac:dyDescent="0.45">
      <c r="A6" t="s">
        <v>6</v>
      </c>
      <c r="B6">
        <v>1005</v>
      </c>
      <c r="C6" s="1">
        <v>45743</v>
      </c>
      <c r="D6" s="1">
        <v>45868</v>
      </c>
      <c r="E6" t="s">
        <v>61</v>
      </c>
      <c r="F6" t="s">
        <v>64</v>
      </c>
      <c r="G6" s="5" t="s">
        <v>118</v>
      </c>
      <c r="H6" s="5">
        <v>750.91</v>
      </c>
      <c r="I6" t="s">
        <v>36</v>
      </c>
    </row>
    <row r="7" spans="1:9" x14ac:dyDescent="0.45">
      <c r="A7" t="s">
        <v>6</v>
      </c>
      <c r="B7">
        <v>1008</v>
      </c>
      <c r="C7" s="1">
        <v>45375</v>
      </c>
      <c r="D7" s="1"/>
      <c r="E7" t="s">
        <v>61</v>
      </c>
      <c r="F7" t="s">
        <v>64</v>
      </c>
      <c r="G7" s="5" t="s">
        <v>118</v>
      </c>
      <c r="H7" s="5">
        <v>750.91</v>
      </c>
      <c r="I7" t="s">
        <v>36</v>
      </c>
    </row>
    <row r="8" spans="1:9" x14ac:dyDescent="0.45">
      <c r="A8" t="s">
        <v>7</v>
      </c>
      <c r="B8">
        <v>1010</v>
      </c>
      <c r="C8" s="1">
        <v>45866</v>
      </c>
      <c r="D8" s="1"/>
      <c r="E8" t="s">
        <v>44</v>
      </c>
      <c r="F8" t="s">
        <v>45</v>
      </c>
      <c r="G8" s="5" t="s">
        <v>110</v>
      </c>
      <c r="H8" s="5">
        <v>1501.06</v>
      </c>
      <c r="I8" t="s">
        <v>36</v>
      </c>
    </row>
    <row r="9" spans="1:9" x14ac:dyDescent="0.45">
      <c r="A9" t="s">
        <v>7</v>
      </c>
      <c r="B9">
        <v>1002</v>
      </c>
      <c r="C9" s="1">
        <v>45799</v>
      </c>
      <c r="D9" s="1">
        <v>45808</v>
      </c>
      <c r="E9" t="s">
        <v>44</v>
      </c>
      <c r="F9" t="s">
        <v>45</v>
      </c>
      <c r="G9" s="5" t="s">
        <v>110</v>
      </c>
      <c r="H9" s="5">
        <v>1501.06</v>
      </c>
      <c r="I9" t="s">
        <v>36</v>
      </c>
    </row>
    <row r="10" spans="1:9" x14ac:dyDescent="0.45">
      <c r="A10" t="s">
        <v>7</v>
      </c>
      <c r="B10">
        <v>1003</v>
      </c>
      <c r="C10" s="1">
        <v>45330</v>
      </c>
      <c r="D10" s="1">
        <v>45817</v>
      </c>
      <c r="E10" t="s">
        <v>44</v>
      </c>
      <c r="F10" t="s">
        <v>45</v>
      </c>
      <c r="G10" s="5" t="s">
        <v>110</v>
      </c>
      <c r="H10" s="5">
        <v>1501.06</v>
      </c>
      <c r="I10" t="s">
        <v>36</v>
      </c>
    </row>
    <row r="11" spans="1:9" x14ac:dyDescent="0.45">
      <c r="A11" t="s">
        <v>22</v>
      </c>
      <c r="B11">
        <v>1003</v>
      </c>
      <c r="C11" s="1">
        <v>45827</v>
      </c>
      <c r="D11" s="1">
        <v>45908</v>
      </c>
      <c r="E11" t="s">
        <v>42</v>
      </c>
      <c r="F11" t="s">
        <v>43</v>
      </c>
      <c r="G11" s="5" t="s">
        <v>98</v>
      </c>
      <c r="H11" s="5">
        <v>1007.88</v>
      </c>
      <c r="I11" t="s">
        <v>39</v>
      </c>
    </row>
    <row r="12" spans="1:9" x14ac:dyDescent="0.45">
      <c r="A12" t="s">
        <v>8</v>
      </c>
      <c r="B12">
        <v>1012</v>
      </c>
      <c r="C12" s="1">
        <v>45808</v>
      </c>
      <c r="D12" s="1">
        <v>45818</v>
      </c>
      <c r="E12" t="s">
        <v>46</v>
      </c>
      <c r="F12" t="s">
        <v>47</v>
      </c>
      <c r="G12" s="5" t="s">
        <v>100</v>
      </c>
      <c r="H12" s="5">
        <v>1257.96</v>
      </c>
      <c r="I12" t="s">
        <v>39</v>
      </c>
    </row>
    <row r="13" spans="1:9" x14ac:dyDescent="0.45">
      <c r="A13" t="s">
        <v>9</v>
      </c>
      <c r="B13">
        <v>1009</v>
      </c>
      <c r="C13" s="1">
        <v>45389</v>
      </c>
      <c r="D13" s="1"/>
      <c r="E13" t="s">
        <v>44</v>
      </c>
      <c r="F13" t="s">
        <v>45</v>
      </c>
      <c r="G13" s="5" t="s">
        <v>99</v>
      </c>
      <c r="H13" s="5">
        <v>823.23</v>
      </c>
      <c r="I13" t="s">
        <v>36</v>
      </c>
    </row>
    <row r="14" spans="1:9" x14ac:dyDescent="0.45">
      <c r="A14" t="s">
        <v>9</v>
      </c>
      <c r="B14">
        <v>1006</v>
      </c>
      <c r="C14" s="1">
        <v>45892</v>
      </c>
      <c r="D14" s="1">
        <v>45922</v>
      </c>
      <c r="E14" t="s">
        <v>44</v>
      </c>
      <c r="F14" t="s">
        <v>45</v>
      </c>
      <c r="G14" s="5" t="s">
        <v>99</v>
      </c>
      <c r="H14" s="5">
        <v>823.23</v>
      </c>
      <c r="I14" t="s">
        <v>36</v>
      </c>
    </row>
    <row r="15" spans="1:9" x14ac:dyDescent="0.45">
      <c r="A15" t="s">
        <v>9</v>
      </c>
      <c r="B15">
        <v>1012</v>
      </c>
      <c r="C15" s="1">
        <v>45599</v>
      </c>
      <c r="D15" s="1"/>
      <c r="E15" t="s">
        <v>44</v>
      </c>
      <c r="F15" t="s">
        <v>45</v>
      </c>
      <c r="G15" s="5" t="s">
        <v>99</v>
      </c>
      <c r="H15" s="5">
        <v>823.23</v>
      </c>
      <c r="I15" t="s">
        <v>36</v>
      </c>
    </row>
    <row r="16" spans="1:9" x14ac:dyDescent="0.45">
      <c r="A16" t="s">
        <v>10</v>
      </c>
      <c r="B16">
        <v>1011</v>
      </c>
      <c r="C16" s="1">
        <v>45850</v>
      </c>
      <c r="D16" s="1">
        <v>45853</v>
      </c>
      <c r="E16" t="s">
        <v>42</v>
      </c>
      <c r="F16" t="s">
        <v>43</v>
      </c>
      <c r="G16" s="5" t="s">
        <v>103</v>
      </c>
      <c r="H16" s="5">
        <v>1458.02</v>
      </c>
      <c r="I16" t="s">
        <v>39</v>
      </c>
    </row>
    <row r="17" spans="1:11" x14ac:dyDescent="0.45">
      <c r="A17" t="s">
        <v>21</v>
      </c>
      <c r="B17">
        <v>1001</v>
      </c>
      <c r="C17" s="1">
        <v>45544</v>
      </c>
      <c r="D17" s="1">
        <v>45854</v>
      </c>
      <c r="E17" t="s">
        <v>42</v>
      </c>
      <c r="F17" t="s">
        <v>48</v>
      </c>
      <c r="G17" s="5" t="s">
        <v>101</v>
      </c>
      <c r="H17" s="5">
        <v>869.09</v>
      </c>
      <c r="I17" t="s">
        <v>49</v>
      </c>
    </row>
    <row r="18" spans="1:11" x14ac:dyDescent="0.45">
      <c r="A18" t="s">
        <v>21</v>
      </c>
      <c r="B18">
        <v>1001</v>
      </c>
      <c r="C18" s="1">
        <v>45880</v>
      </c>
      <c r="D18" s="1"/>
      <c r="E18" t="s">
        <v>42</v>
      </c>
      <c r="F18" t="s">
        <v>48</v>
      </c>
      <c r="G18" s="5" t="s">
        <v>101</v>
      </c>
      <c r="H18" s="5">
        <v>869.09</v>
      </c>
      <c r="I18" t="s">
        <v>49</v>
      </c>
    </row>
    <row r="19" spans="1:11" x14ac:dyDescent="0.45">
      <c r="A19" t="s">
        <v>11</v>
      </c>
      <c r="B19">
        <v>1005</v>
      </c>
      <c r="C19" s="1">
        <v>45837</v>
      </c>
      <c r="D19" s="1">
        <v>45898</v>
      </c>
      <c r="E19" t="s">
        <v>44</v>
      </c>
      <c r="F19" t="s">
        <v>54</v>
      </c>
      <c r="G19" s="5" t="s">
        <v>105</v>
      </c>
      <c r="H19" s="5">
        <v>1417.1</v>
      </c>
      <c r="I19" t="s">
        <v>39</v>
      </c>
    </row>
    <row r="20" spans="1:11" x14ac:dyDescent="0.45">
      <c r="A20" t="s">
        <v>12</v>
      </c>
      <c r="B20">
        <v>1004</v>
      </c>
      <c r="C20" s="1">
        <v>45523</v>
      </c>
      <c r="D20" s="1"/>
      <c r="E20" t="s">
        <v>51</v>
      </c>
      <c r="F20" t="s">
        <v>52</v>
      </c>
      <c r="G20" s="5" t="s">
        <v>122</v>
      </c>
      <c r="H20" s="5">
        <v>1246.58</v>
      </c>
      <c r="I20" t="s">
        <v>49</v>
      </c>
    </row>
    <row r="21" spans="1:11" x14ac:dyDescent="0.45">
      <c r="A21" t="s">
        <v>12</v>
      </c>
      <c r="B21">
        <v>1006</v>
      </c>
      <c r="C21" s="1">
        <v>45630</v>
      </c>
      <c r="D21" s="1">
        <v>45732</v>
      </c>
      <c r="E21" t="s">
        <v>51</v>
      </c>
      <c r="F21" t="s">
        <v>52</v>
      </c>
      <c r="G21" s="5" t="s">
        <v>122</v>
      </c>
      <c r="H21" s="5">
        <v>1246.58</v>
      </c>
      <c r="I21" t="s">
        <v>49</v>
      </c>
    </row>
    <row r="22" spans="1:11" x14ac:dyDescent="0.45">
      <c r="A22" t="s">
        <v>12</v>
      </c>
      <c r="B22">
        <v>1003</v>
      </c>
      <c r="C22" s="1">
        <v>45595</v>
      </c>
      <c r="D22" s="1">
        <v>45630</v>
      </c>
      <c r="E22" t="s">
        <v>51</v>
      </c>
      <c r="F22" t="s">
        <v>52</v>
      </c>
      <c r="G22" s="5" t="s">
        <v>122</v>
      </c>
      <c r="H22" s="5">
        <v>1246.58</v>
      </c>
      <c r="I22" t="s">
        <v>49</v>
      </c>
    </row>
    <row r="23" spans="1:11" x14ac:dyDescent="0.45">
      <c r="A23" t="s">
        <v>13</v>
      </c>
      <c r="B23">
        <v>1012</v>
      </c>
      <c r="C23" s="1">
        <v>45419</v>
      </c>
      <c r="D23" s="1">
        <v>45470</v>
      </c>
      <c r="E23" t="s">
        <v>44</v>
      </c>
      <c r="F23" t="s">
        <v>45</v>
      </c>
      <c r="G23" s="5" t="s">
        <v>107</v>
      </c>
      <c r="H23" s="5">
        <v>1898.65</v>
      </c>
      <c r="I23" t="s">
        <v>49</v>
      </c>
    </row>
    <row r="24" spans="1:11" x14ac:dyDescent="0.45">
      <c r="A24" t="s">
        <v>13</v>
      </c>
      <c r="B24">
        <v>1009</v>
      </c>
      <c r="C24" s="1">
        <v>45319</v>
      </c>
      <c r="D24" s="1">
        <v>45714</v>
      </c>
      <c r="E24" t="s">
        <v>44</v>
      </c>
      <c r="F24" t="s">
        <v>45</v>
      </c>
      <c r="G24" s="5" t="s">
        <v>107</v>
      </c>
      <c r="H24" s="5">
        <v>1898.65</v>
      </c>
      <c r="I24" t="s">
        <v>49</v>
      </c>
    </row>
    <row r="25" spans="1:11" x14ac:dyDescent="0.45">
      <c r="A25" t="s">
        <v>14</v>
      </c>
      <c r="B25">
        <v>1002</v>
      </c>
      <c r="C25" s="1">
        <v>45921</v>
      </c>
      <c r="D25" s="1">
        <v>45934</v>
      </c>
      <c r="E25" t="s">
        <v>42</v>
      </c>
      <c r="F25" t="s">
        <v>48</v>
      </c>
      <c r="G25" s="5" t="s">
        <v>123</v>
      </c>
      <c r="H25" s="5">
        <v>1553.15</v>
      </c>
      <c r="I25" t="s">
        <v>49</v>
      </c>
    </row>
    <row r="26" spans="1:11" x14ac:dyDescent="0.45">
      <c r="A26" t="s">
        <v>15</v>
      </c>
      <c r="B26">
        <v>1010</v>
      </c>
      <c r="C26" s="1">
        <v>45377</v>
      </c>
      <c r="D26" s="1">
        <v>45886</v>
      </c>
      <c r="E26" t="s">
        <v>46</v>
      </c>
      <c r="F26" t="s">
        <v>56</v>
      </c>
      <c r="G26" s="5" t="s">
        <v>109</v>
      </c>
      <c r="H26" s="5">
        <v>661.44</v>
      </c>
      <c r="I26" t="s">
        <v>39</v>
      </c>
    </row>
    <row r="27" spans="1:11" x14ac:dyDescent="0.45">
      <c r="A27" t="s">
        <v>15</v>
      </c>
      <c r="B27">
        <v>1002</v>
      </c>
      <c r="C27" s="1">
        <v>45519</v>
      </c>
      <c r="D27" s="1"/>
      <c r="E27" t="s">
        <v>46</v>
      </c>
      <c r="F27" t="s">
        <v>56</v>
      </c>
      <c r="G27" s="5" t="s">
        <v>109</v>
      </c>
      <c r="H27" s="5">
        <v>661.44</v>
      </c>
      <c r="I27" t="s">
        <v>39</v>
      </c>
    </row>
    <row r="28" spans="1:11" x14ac:dyDescent="0.45">
      <c r="A28" t="s">
        <v>25</v>
      </c>
      <c r="B28">
        <v>1001</v>
      </c>
      <c r="C28" s="1">
        <v>45622</v>
      </c>
      <c r="D28" s="1">
        <v>45719</v>
      </c>
      <c r="E28" t="s">
        <v>42</v>
      </c>
      <c r="F28" t="s">
        <v>48</v>
      </c>
      <c r="G28" s="5" t="s">
        <v>108</v>
      </c>
      <c r="H28" s="5">
        <v>1415.97</v>
      </c>
      <c r="I28" t="s">
        <v>49</v>
      </c>
      <c r="K28"/>
    </row>
    <row r="29" spans="1:11" x14ac:dyDescent="0.45">
      <c r="A29" t="s">
        <v>16</v>
      </c>
      <c r="B29">
        <v>1002</v>
      </c>
      <c r="C29" s="1">
        <v>45899</v>
      </c>
      <c r="D29" s="1">
        <v>45930</v>
      </c>
      <c r="E29" t="s">
        <v>34</v>
      </c>
      <c r="F29" t="s">
        <v>41</v>
      </c>
      <c r="G29" s="5" t="s">
        <v>116</v>
      </c>
      <c r="H29" s="5">
        <v>1591.98</v>
      </c>
      <c r="I29" t="s">
        <v>49</v>
      </c>
      <c r="K29"/>
    </row>
    <row r="30" spans="1:11" x14ac:dyDescent="0.45">
      <c r="A30" t="s">
        <v>16</v>
      </c>
      <c r="B30">
        <v>1002</v>
      </c>
      <c r="C30" s="1">
        <v>45493</v>
      </c>
      <c r="D30" s="1">
        <v>45663</v>
      </c>
      <c r="E30" t="s">
        <v>34</v>
      </c>
      <c r="F30" t="s">
        <v>41</v>
      </c>
      <c r="G30" s="5" t="s">
        <v>116</v>
      </c>
      <c r="H30" s="5">
        <v>1591.98</v>
      </c>
      <c r="I30" t="s">
        <v>49</v>
      </c>
      <c r="K30"/>
    </row>
    <row r="31" spans="1:11" x14ac:dyDescent="0.45">
      <c r="A31" t="s">
        <v>17</v>
      </c>
      <c r="B31">
        <v>1011</v>
      </c>
      <c r="C31" s="1">
        <v>45568</v>
      </c>
      <c r="D31" s="1">
        <v>45623</v>
      </c>
      <c r="E31" t="s">
        <v>34</v>
      </c>
      <c r="F31" t="s">
        <v>41</v>
      </c>
      <c r="G31" s="5" t="s">
        <v>112</v>
      </c>
      <c r="H31" s="5">
        <v>1688.07</v>
      </c>
      <c r="I31" t="s">
        <v>39</v>
      </c>
      <c r="K31"/>
    </row>
    <row r="32" spans="1:11" x14ac:dyDescent="0.45">
      <c r="A32" t="s">
        <v>18</v>
      </c>
      <c r="B32">
        <v>1004</v>
      </c>
      <c r="C32" s="1">
        <v>45320</v>
      </c>
      <c r="D32" s="1"/>
      <c r="E32" t="s">
        <v>42</v>
      </c>
      <c r="F32" t="s">
        <v>66</v>
      </c>
      <c r="G32" s="5" t="s">
        <v>125</v>
      </c>
      <c r="H32" s="5">
        <v>1095.6199999999999</v>
      </c>
      <c r="I32" t="s">
        <v>39</v>
      </c>
      <c r="K32"/>
    </row>
    <row r="33" spans="1:9" x14ac:dyDescent="0.45">
      <c r="A33" t="s">
        <v>18</v>
      </c>
      <c r="B33">
        <v>1004</v>
      </c>
      <c r="C33" s="1">
        <v>45336</v>
      </c>
      <c r="D33" s="1"/>
      <c r="E33" t="s">
        <v>42</v>
      </c>
      <c r="F33" t="s">
        <v>66</v>
      </c>
      <c r="G33" s="5" t="s">
        <v>125</v>
      </c>
      <c r="H33" s="5">
        <v>1095.6199999999999</v>
      </c>
      <c r="I33" t="s">
        <v>39</v>
      </c>
    </row>
    <row r="34" spans="1:9" x14ac:dyDescent="0.45">
      <c r="A34" t="s">
        <v>19</v>
      </c>
      <c r="B34">
        <v>1004</v>
      </c>
      <c r="C34" s="1">
        <v>45403</v>
      </c>
      <c r="D34" s="1">
        <v>45839</v>
      </c>
      <c r="E34" t="s">
        <v>61</v>
      </c>
      <c r="F34" t="s">
        <v>62</v>
      </c>
      <c r="G34" s="5" t="s">
        <v>121</v>
      </c>
      <c r="H34" s="5">
        <v>501.64</v>
      </c>
      <c r="I34" t="s">
        <v>39</v>
      </c>
    </row>
    <row r="35" spans="1:9" x14ac:dyDescent="0.45">
      <c r="A35" t="s">
        <v>20</v>
      </c>
      <c r="B35">
        <v>1012</v>
      </c>
      <c r="C35" s="1">
        <v>45792</v>
      </c>
      <c r="D35" s="1">
        <v>45905</v>
      </c>
      <c r="E35" t="s">
        <v>51</v>
      </c>
      <c r="F35" t="s">
        <v>52</v>
      </c>
      <c r="G35" s="5" t="s">
        <v>124</v>
      </c>
      <c r="H35" s="5">
        <v>1629.76</v>
      </c>
      <c r="I35" t="s">
        <v>39</v>
      </c>
    </row>
    <row r="36" spans="1:9" x14ac:dyDescent="0.45">
      <c r="A36" t="s">
        <v>20</v>
      </c>
      <c r="B36">
        <v>1005</v>
      </c>
      <c r="C36" s="1">
        <v>45261</v>
      </c>
      <c r="D36" s="1">
        <v>45559</v>
      </c>
      <c r="E36" t="s">
        <v>51</v>
      </c>
      <c r="F36" t="s">
        <v>52</v>
      </c>
      <c r="G36" s="5" t="s">
        <v>124</v>
      </c>
      <c r="H36" s="5">
        <v>1629.76</v>
      </c>
      <c r="I36" t="s">
        <v>39</v>
      </c>
    </row>
    <row r="37" spans="1:9" x14ac:dyDescent="0.45">
      <c r="A37" t="s">
        <v>23</v>
      </c>
      <c r="B37">
        <v>1005</v>
      </c>
      <c r="C37" s="1">
        <v>45675</v>
      </c>
      <c r="D37" s="1"/>
      <c r="E37" t="s">
        <v>51</v>
      </c>
      <c r="F37" t="s">
        <v>52</v>
      </c>
      <c r="G37" s="5" t="s">
        <v>119</v>
      </c>
      <c r="H37" s="5">
        <v>545.46</v>
      </c>
      <c r="I37" t="s">
        <v>36</v>
      </c>
    </row>
    <row r="38" spans="1:9" x14ac:dyDescent="0.45">
      <c r="A38" t="s">
        <v>24</v>
      </c>
      <c r="B38">
        <v>1003</v>
      </c>
      <c r="C38" s="1">
        <v>45508</v>
      </c>
      <c r="D38" s="1">
        <v>45871</v>
      </c>
      <c r="E38" t="s">
        <v>42</v>
      </c>
      <c r="F38" t="s">
        <v>48</v>
      </c>
      <c r="G38" s="5" t="s">
        <v>126</v>
      </c>
      <c r="H38" s="5">
        <v>1801.36</v>
      </c>
      <c r="I38" t="s">
        <v>39</v>
      </c>
    </row>
    <row r="39" spans="1:9" x14ac:dyDescent="0.45">
      <c r="A39" t="s">
        <v>4</v>
      </c>
      <c r="B39">
        <v>1001</v>
      </c>
      <c r="C39" s="1">
        <v>45641</v>
      </c>
      <c r="D39" s="1"/>
      <c r="E39" t="s">
        <v>51</v>
      </c>
      <c r="F39" t="s">
        <v>67</v>
      </c>
      <c r="G39" s="5" t="s">
        <v>129</v>
      </c>
      <c r="H39" s="5">
        <v>644.54</v>
      </c>
      <c r="I39" t="s">
        <v>36</v>
      </c>
    </row>
    <row r="40" spans="1:9" x14ac:dyDescent="0.45">
      <c r="A40" t="s">
        <v>22</v>
      </c>
      <c r="B40">
        <v>1001</v>
      </c>
      <c r="C40" s="1">
        <v>45880</v>
      </c>
      <c r="D40" s="1">
        <v>45881</v>
      </c>
      <c r="E40" t="s">
        <v>42</v>
      </c>
      <c r="F40" t="s">
        <v>43</v>
      </c>
      <c r="G40" s="5" t="s">
        <v>98</v>
      </c>
      <c r="H40" s="5">
        <v>1007.88</v>
      </c>
      <c r="I40" t="s">
        <v>39</v>
      </c>
    </row>
    <row r="41" spans="1:9" x14ac:dyDescent="0.45">
      <c r="A41" t="s">
        <v>26</v>
      </c>
      <c r="B41">
        <v>1009</v>
      </c>
      <c r="C41" s="1">
        <v>45740</v>
      </c>
      <c r="D41" s="1">
        <v>45784</v>
      </c>
      <c r="E41" t="s">
        <v>51</v>
      </c>
      <c r="F41" t="s">
        <v>67</v>
      </c>
      <c r="G41" s="5" t="s">
        <v>127</v>
      </c>
      <c r="H41" s="5">
        <v>1212.29</v>
      </c>
      <c r="I41" t="s">
        <v>36</v>
      </c>
    </row>
    <row r="42" spans="1:9" x14ac:dyDescent="0.45">
      <c r="A42" t="s">
        <v>26</v>
      </c>
      <c r="B42">
        <v>1002</v>
      </c>
      <c r="C42" s="1">
        <v>45741</v>
      </c>
      <c r="D42" s="1"/>
      <c r="E42" t="s">
        <v>51</v>
      </c>
      <c r="F42" t="s">
        <v>67</v>
      </c>
      <c r="G42" s="5" t="s">
        <v>127</v>
      </c>
      <c r="H42" s="5">
        <v>1212.29</v>
      </c>
      <c r="I42" t="s">
        <v>36</v>
      </c>
    </row>
    <row r="43" spans="1:9" x14ac:dyDescent="0.45">
      <c r="A43" t="s">
        <v>9</v>
      </c>
      <c r="B43">
        <v>1010</v>
      </c>
      <c r="C43" s="1">
        <v>45899</v>
      </c>
      <c r="D43" s="1">
        <v>45925</v>
      </c>
      <c r="E43" t="s">
        <v>44</v>
      </c>
      <c r="F43" t="s">
        <v>45</v>
      </c>
      <c r="G43" s="5" t="s">
        <v>99</v>
      </c>
      <c r="H43" s="5">
        <v>823.23</v>
      </c>
      <c r="I43" t="s">
        <v>36</v>
      </c>
    </row>
    <row r="44" spans="1:9" x14ac:dyDescent="0.45">
      <c r="A44" t="s">
        <v>7</v>
      </c>
      <c r="B44">
        <v>1007</v>
      </c>
      <c r="C44" s="1">
        <v>45795</v>
      </c>
      <c r="D44" s="1">
        <v>45846</v>
      </c>
      <c r="E44" t="s">
        <v>44</v>
      </c>
      <c r="F44" t="s">
        <v>45</v>
      </c>
      <c r="G44" s="5" t="s">
        <v>110</v>
      </c>
      <c r="H44" s="5">
        <v>1501.06</v>
      </c>
      <c r="I44" t="s">
        <v>36</v>
      </c>
    </row>
    <row r="45" spans="1:9" x14ac:dyDescent="0.45">
      <c r="A45" t="s">
        <v>7</v>
      </c>
      <c r="B45">
        <v>1010</v>
      </c>
      <c r="C45" s="1">
        <v>45808</v>
      </c>
      <c r="D45" s="1">
        <v>45932</v>
      </c>
      <c r="E45" t="s">
        <v>44</v>
      </c>
      <c r="F45" t="s">
        <v>45</v>
      </c>
      <c r="G45" s="5" t="s">
        <v>110</v>
      </c>
      <c r="H45" s="5">
        <v>1501.06</v>
      </c>
      <c r="I45" t="s">
        <v>36</v>
      </c>
    </row>
    <row r="46" spans="1:9" x14ac:dyDescent="0.45">
      <c r="A46" t="s">
        <v>8</v>
      </c>
      <c r="B46">
        <v>1007</v>
      </c>
      <c r="C46" s="1">
        <v>45476</v>
      </c>
      <c r="D46" s="1"/>
      <c r="E46" t="s">
        <v>46</v>
      </c>
      <c r="F46" t="s">
        <v>47</v>
      </c>
      <c r="G46" s="5" t="s">
        <v>100</v>
      </c>
      <c r="H46" s="5">
        <v>1257.96</v>
      </c>
      <c r="I46" t="s">
        <v>39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F0A2-CBF6-49E8-A563-5C69AEE80DEF}">
  <dimension ref="A3:E29"/>
  <sheetViews>
    <sheetView tabSelected="1" topLeftCell="A8" zoomScale="86" workbookViewId="0">
      <selection activeCell="I41" sqref="I41"/>
    </sheetView>
  </sheetViews>
  <sheetFormatPr baseColWidth="10" defaultRowHeight="14.25" x14ac:dyDescent="0.45"/>
  <cols>
    <col min="1" max="1" width="25.1328125" bestFit="1" customWidth="1"/>
    <col min="2" max="2" width="21.6640625" bestFit="1" customWidth="1"/>
    <col min="3" max="3" width="8.1328125" bestFit="1" customWidth="1"/>
    <col min="4" max="4" width="8.19921875" bestFit="1" customWidth="1"/>
    <col min="5" max="5" width="13.9296875" bestFit="1" customWidth="1"/>
  </cols>
  <sheetData>
    <row r="3" spans="1:2" x14ac:dyDescent="0.45">
      <c r="A3" s="7" t="s">
        <v>130</v>
      </c>
      <c r="B3" t="s">
        <v>132</v>
      </c>
    </row>
    <row r="4" spans="1:2" x14ac:dyDescent="0.45">
      <c r="A4" s="8" t="s">
        <v>51</v>
      </c>
      <c r="B4" s="5">
        <v>12</v>
      </c>
    </row>
    <row r="5" spans="1:2" x14ac:dyDescent="0.45">
      <c r="A5" s="8" t="s">
        <v>44</v>
      </c>
      <c r="B5" s="5">
        <v>12</v>
      </c>
    </row>
    <row r="6" spans="1:2" x14ac:dyDescent="0.45">
      <c r="A6" s="8" t="s">
        <v>42</v>
      </c>
      <c r="B6" s="5">
        <v>10</v>
      </c>
    </row>
    <row r="7" spans="1:2" x14ac:dyDescent="0.45">
      <c r="A7" s="8" t="s">
        <v>61</v>
      </c>
      <c r="B7" s="5">
        <v>4</v>
      </c>
    </row>
    <row r="8" spans="1:2" x14ac:dyDescent="0.45">
      <c r="A8" s="8" t="s">
        <v>46</v>
      </c>
      <c r="B8" s="5">
        <v>4</v>
      </c>
    </row>
    <row r="9" spans="1:2" x14ac:dyDescent="0.45">
      <c r="A9" s="8" t="s">
        <v>34</v>
      </c>
      <c r="B9" s="5">
        <v>3</v>
      </c>
    </row>
    <row r="10" spans="1:2" x14ac:dyDescent="0.45">
      <c r="A10" s="8" t="s">
        <v>131</v>
      </c>
      <c r="B10" s="5">
        <v>45</v>
      </c>
    </row>
    <row r="21" spans="1:5" x14ac:dyDescent="0.45">
      <c r="A21" s="7" t="s">
        <v>132</v>
      </c>
      <c r="B21" s="7" t="s">
        <v>133</v>
      </c>
    </row>
    <row r="22" spans="1:5" x14ac:dyDescent="0.45">
      <c r="A22" s="7" t="s">
        <v>130</v>
      </c>
      <c r="B22" t="s">
        <v>36</v>
      </c>
      <c r="C22" t="s">
        <v>49</v>
      </c>
      <c r="D22" t="s">
        <v>39</v>
      </c>
      <c r="E22" t="s">
        <v>131</v>
      </c>
    </row>
    <row r="23" spans="1:5" x14ac:dyDescent="0.45">
      <c r="A23" s="8" t="s">
        <v>51</v>
      </c>
      <c r="B23" s="5">
        <v>7</v>
      </c>
      <c r="C23" s="5">
        <v>3</v>
      </c>
      <c r="D23" s="5">
        <v>2</v>
      </c>
      <c r="E23" s="5">
        <v>12</v>
      </c>
    </row>
    <row r="24" spans="1:5" x14ac:dyDescent="0.45">
      <c r="A24" s="8" t="s">
        <v>44</v>
      </c>
      <c r="B24" s="5">
        <v>9</v>
      </c>
      <c r="C24" s="5">
        <v>2</v>
      </c>
      <c r="D24" s="5">
        <v>1</v>
      </c>
      <c r="E24" s="5">
        <v>12</v>
      </c>
    </row>
    <row r="25" spans="1:5" x14ac:dyDescent="0.45">
      <c r="A25" s="8" t="s">
        <v>42</v>
      </c>
      <c r="B25" s="5"/>
      <c r="C25" s="5">
        <v>4</v>
      </c>
      <c r="D25" s="5">
        <v>6</v>
      </c>
      <c r="E25" s="5">
        <v>10</v>
      </c>
    </row>
    <row r="26" spans="1:5" x14ac:dyDescent="0.45">
      <c r="A26" s="8" t="s">
        <v>61</v>
      </c>
      <c r="B26" s="5">
        <v>2</v>
      </c>
      <c r="C26" s="5"/>
      <c r="D26" s="5">
        <v>2</v>
      </c>
      <c r="E26" s="5">
        <v>4</v>
      </c>
    </row>
    <row r="27" spans="1:5" x14ac:dyDescent="0.45">
      <c r="A27" s="8" t="s">
        <v>46</v>
      </c>
      <c r="B27" s="5"/>
      <c r="C27" s="5"/>
      <c r="D27" s="5">
        <v>4</v>
      </c>
      <c r="E27" s="5">
        <v>4</v>
      </c>
    </row>
    <row r="28" spans="1:5" x14ac:dyDescent="0.45">
      <c r="A28" s="8" t="s">
        <v>34</v>
      </c>
      <c r="B28" s="5"/>
      <c r="C28" s="5">
        <v>2</v>
      </c>
      <c r="D28" s="5">
        <v>1</v>
      </c>
      <c r="E28" s="5">
        <v>3</v>
      </c>
    </row>
    <row r="29" spans="1:5" x14ac:dyDescent="0.45">
      <c r="A29" s="8" t="s">
        <v>131</v>
      </c>
      <c r="B29" s="5">
        <v>18</v>
      </c>
      <c r="C29" s="5">
        <v>11</v>
      </c>
      <c r="D29" s="5">
        <v>16</v>
      </c>
      <c r="E29" s="5">
        <v>45</v>
      </c>
    </row>
  </sheetData>
  <pageMargins left="0.7" right="0.7" top="0.78740157499999996" bottom="0.78740157499999996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C2CA-F478-4957-9F2E-62A924E0021A}">
  <dimension ref="A1:L46"/>
  <sheetViews>
    <sheetView topLeftCell="A2" workbookViewId="0"/>
  </sheetViews>
  <sheetFormatPr baseColWidth="10" defaultRowHeight="14.25" x14ac:dyDescent="0.45"/>
  <cols>
    <col min="1" max="1" width="15.1328125" bestFit="1" customWidth="1"/>
    <col min="2" max="2" width="14.06640625" bestFit="1" customWidth="1"/>
    <col min="3" max="3" width="12.46484375" bestFit="1" customWidth="1"/>
    <col min="4" max="4" width="13.53125" bestFit="1" customWidth="1"/>
    <col min="5" max="5" width="20.46484375" bestFit="1" customWidth="1"/>
    <col min="6" max="6" width="18" bestFit="1" customWidth="1"/>
    <col min="7" max="7" width="21.19921875" bestFit="1" customWidth="1"/>
    <col min="8" max="8" width="25.265625" bestFit="1" customWidth="1"/>
    <col min="9" max="9" width="19.3984375" bestFit="1" customWidth="1"/>
    <col min="10" max="10" width="29.796875" bestFit="1" customWidth="1"/>
    <col min="11" max="11" width="19.86328125" bestFit="1" customWidth="1"/>
    <col min="12" max="12" width="19.199218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45">
      <c r="A2" t="s">
        <v>4</v>
      </c>
      <c r="B2">
        <v>1009</v>
      </c>
      <c r="C2" s="1">
        <v>45421</v>
      </c>
      <c r="D2" s="1"/>
      <c r="E2" t="s">
        <v>51</v>
      </c>
      <c r="F2" t="s">
        <v>67</v>
      </c>
      <c r="G2" s="5" t="s">
        <v>129</v>
      </c>
      <c r="H2" s="5">
        <v>644.54</v>
      </c>
      <c r="I2" t="s">
        <v>36</v>
      </c>
      <c r="J2" t="s">
        <v>82</v>
      </c>
      <c r="K2" t="s">
        <v>83</v>
      </c>
      <c r="L2" t="s">
        <v>49</v>
      </c>
    </row>
    <row r="3" spans="1:12" x14ac:dyDescent="0.45">
      <c r="A3" t="s">
        <v>9</v>
      </c>
      <c r="B3">
        <v>1009</v>
      </c>
      <c r="C3" s="1">
        <v>45389</v>
      </c>
      <c r="D3" s="1"/>
      <c r="E3" t="s">
        <v>44</v>
      </c>
      <c r="F3" t="s">
        <v>45</v>
      </c>
      <c r="G3" s="5" t="s">
        <v>99</v>
      </c>
      <c r="H3" s="5">
        <v>823.23</v>
      </c>
      <c r="I3" t="s">
        <v>36</v>
      </c>
      <c r="J3" t="s">
        <v>82</v>
      </c>
      <c r="K3" t="s">
        <v>83</v>
      </c>
      <c r="L3" t="s">
        <v>49</v>
      </c>
    </row>
    <row r="4" spans="1:12" x14ac:dyDescent="0.45">
      <c r="A4" t="s">
        <v>4</v>
      </c>
      <c r="B4">
        <v>1001</v>
      </c>
      <c r="C4" s="1">
        <v>45297</v>
      </c>
      <c r="D4" s="1"/>
      <c r="E4" t="s">
        <v>51</v>
      </c>
      <c r="F4" t="s">
        <v>67</v>
      </c>
      <c r="G4" s="5" t="s">
        <v>129</v>
      </c>
      <c r="H4" s="5">
        <v>644.54</v>
      </c>
      <c r="I4" t="s">
        <v>36</v>
      </c>
      <c r="J4" t="s">
        <v>71</v>
      </c>
      <c r="K4" t="s">
        <v>72</v>
      </c>
      <c r="L4" t="s">
        <v>36</v>
      </c>
    </row>
    <row r="5" spans="1:12" x14ac:dyDescent="0.45">
      <c r="A5" t="s">
        <v>4</v>
      </c>
      <c r="B5">
        <v>1003</v>
      </c>
      <c r="C5" s="1">
        <v>45417</v>
      </c>
      <c r="D5" s="1"/>
      <c r="E5" t="s">
        <v>51</v>
      </c>
      <c r="F5" t="s">
        <v>67</v>
      </c>
      <c r="G5" s="5" t="s">
        <v>129</v>
      </c>
      <c r="H5" s="5">
        <v>644.54</v>
      </c>
      <c r="I5" t="s">
        <v>36</v>
      </c>
      <c r="J5" t="s">
        <v>74</v>
      </c>
      <c r="K5" t="s">
        <v>75</v>
      </c>
      <c r="L5" t="s">
        <v>49</v>
      </c>
    </row>
    <row r="6" spans="1:12" x14ac:dyDescent="0.45">
      <c r="A6" t="s">
        <v>7</v>
      </c>
      <c r="B6">
        <v>1003</v>
      </c>
      <c r="C6" s="1">
        <v>45330</v>
      </c>
      <c r="D6" s="1">
        <v>45817</v>
      </c>
      <c r="E6" t="s">
        <v>44</v>
      </c>
      <c r="F6" t="s">
        <v>45</v>
      </c>
      <c r="G6" s="5" t="s">
        <v>110</v>
      </c>
      <c r="H6" s="5">
        <v>1501.06</v>
      </c>
      <c r="I6" t="s">
        <v>36</v>
      </c>
      <c r="J6" t="s">
        <v>74</v>
      </c>
      <c r="K6" t="s">
        <v>75</v>
      </c>
      <c r="L6" t="s">
        <v>49</v>
      </c>
    </row>
    <row r="7" spans="1:12" x14ac:dyDescent="0.45">
      <c r="A7" t="s">
        <v>22</v>
      </c>
      <c r="B7">
        <v>1003</v>
      </c>
      <c r="C7" s="1">
        <v>45827</v>
      </c>
      <c r="D7" s="1">
        <v>45908</v>
      </c>
      <c r="E7" t="s">
        <v>42</v>
      </c>
      <c r="F7" t="s">
        <v>43</v>
      </c>
      <c r="G7" s="5" t="s">
        <v>98</v>
      </c>
      <c r="H7" s="5">
        <v>1007.88</v>
      </c>
      <c r="I7" t="s">
        <v>39</v>
      </c>
      <c r="J7" t="s">
        <v>74</v>
      </c>
      <c r="K7" t="s">
        <v>75</v>
      </c>
      <c r="L7" t="s">
        <v>49</v>
      </c>
    </row>
    <row r="8" spans="1:12" x14ac:dyDescent="0.45">
      <c r="A8" t="s">
        <v>7</v>
      </c>
      <c r="B8">
        <v>1002</v>
      </c>
      <c r="C8" s="1">
        <v>45799</v>
      </c>
      <c r="D8" s="1">
        <v>45808</v>
      </c>
      <c r="E8" t="s">
        <v>44</v>
      </c>
      <c r="F8" t="s">
        <v>45</v>
      </c>
      <c r="G8" s="5" t="s">
        <v>110</v>
      </c>
      <c r="H8" s="5">
        <v>1501.06</v>
      </c>
      <c r="I8" t="s">
        <v>36</v>
      </c>
      <c r="J8" t="s">
        <v>73</v>
      </c>
      <c r="K8" t="s">
        <v>72</v>
      </c>
      <c r="L8" t="s">
        <v>36</v>
      </c>
    </row>
    <row r="9" spans="1:12" x14ac:dyDescent="0.45">
      <c r="A9" t="s">
        <v>5</v>
      </c>
      <c r="B9">
        <v>1008</v>
      </c>
      <c r="C9" s="1">
        <v>45930</v>
      </c>
      <c r="D9" s="1">
        <v>45935</v>
      </c>
      <c r="E9" t="s">
        <v>61</v>
      </c>
      <c r="F9" t="s">
        <v>62</v>
      </c>
      <c r="G9" s="5" t="s">
        <v>115</v>
      </c>
      <c r="H9" s="5">
        <v>1134.1600000000001</v>
      </c>
      <c r="I9" t="s">
        <v>39</v>
      </c>
      <c r="J9" t="s">
        <v>81</v>
      </c>
      <c r="K9" t="s">
        <v>72</v>
      </c>
      <c r="L9" t="s">
        <v>49</v>
      </c>
    </row>
    <row r="10" spans="1:12" x14ac:dyDescent="0.45">
      <c r="A10" t="s">
        <v>6</v>
      </c>
      <c r="B10">
        <v>1008</v>
      </c>
      <c r="C10" s="1">
        <v>45375</v>
      </c>
      <c r="D10" s="1"/>
      <c r="E10" t="s">
        <v>61</v>
      </c>
      <c r="F10" t="s">
        <v>64</v>
      </c>
      <c r="G10" s="5" t="s">
        <v>118</v>
      </c>
      <c r="H10" s="5">
        <v>750.91</v>
      </c>
      <c r="I10" t="s">
        <v>36</v>
      </c>
      <c r="J10" t="s">
        <v>81</v>
      </c>
      <c r="K10" t="s">
        <v>72</v>
      </c>
      <c r="L10" t="s">
        <v>49</v>
      </c>
    </row>
    <row r="11" spans="1:12" x14ac:dyDescent="0.45">
      <c r="A11" t="s">
        <v>6</v>
      </c>
      <c r="B11">
        <v>1005</v>
      </c>
      <c r="C11" s="1">
        <v>45743</v>
      </c>
      <c r="D11" s="1">
        <v>45868</v>
      </c>
      <c r="E11" t="s">
        <v>61</v>
      </c>
      <c r="F11" t="s">
        <v>64</v>
      </c>
      <c r="G11" s="5" t="s">
        <v>118</v>
      </c>
      <c r="H11" s="5">
        <v>750.91</v>
      </c>
      <c r="I11" t="s">
        <v>36</v>
      </c>
      <c r="J11" t="s">
        <v>78</v>
      </c>
      <c r="K11" t="s">
        <v>77</v>
      </c>
      <c r="L11" t="s">
        <v>36</v>
      </c>
    </row>
    <row r="12" spans="1:12" x14ac:dyDescent="0.45">
      <c r="A12" t="s">
        <v>9</v>
      </c>
      <c r="B12">
        <v>1006</v>
      </c>
      <c r="C12" s="1">
        <v>45892</v>
      </c>
      <c r="D12" s="1">
        <v>45922</v>
      </c>
      <c r="E12" t="s">
        <v>44</v>
      </c>
      <c r="F12" t="s">
        <v>45</v>
      </c>
      <c r="G12" s="5" t="s">
        <v>99</v>
      </c>
      <c r="H12" s="5">
        <v>823.23</v>
      </c>
      <c r="I12" t="s">
        <v>36</v>
      </c>
      <c r="J12" t="s">
        <v>79</v>
      </c>
      <c r="K12" t="s">
        <v>77</v>
      </c>
      <c r="L12" t="s">
        <v>49</v>
      </c>
    </row>
    <row r="13" spans="1:12" x14ac:dyDescent="0.45">
      <c r="A13" t="s">
        <v>7</v>
      </c>
      <c r="B13">
        <v>1010</v>
      </c>
      <c r="C13" s="1">
        <v>45866</v>
      </c>
      <c r="D13" s="1"/>
      <c r="E13" t="s">
        <v>44</v>
      </c>
      <c r="F13" t="s">
        <v>45</v>
      </c>
      <c r="G13" s="5" t="s">
        <v>110</v>
      </c>
      <c r="H13" s="5">
        <v>1501.06</v>
      </c>
      <c r="I13" t="s">
        <v>36</v>
      </c>
      <c r="J13" t="s">
        <v>84</v>
      </c>
      <c r="K13" t="s">
        <v>72</v>
      </c>
      <c r="L13" t="s">
        <v>49</v>
      </c>
    </row>
    <row r="14" spans="1:12" x14ac:dyDescent="0.45">
      <c r="A14" t="s">
        <v>8</v>
      </c>
      <c r="B14">
        <v>1012</v>
      </c>
      <c r="C14" s="1">
        <v>45808</v>
      </c>
      <c r="D14" s="1">
        <v>45818</v>
      </c>
      <c r="E14" t="s">
        <v>46</v>
      </c>
      <c r="F14" t="s">
        <v>47</v>
      </c>
      <c r="G14" s="5" t="s">
        <v>100</v>
      </c>
      <c r="H14" s="5">
        <v>1257.96</v>
      </c>
      <c r="I14" t="s">
        <v>39</v>
      </c>
      <c r="J14" t="s">
        <v>86</v>
      </c>
      <c r="K14" t="s">
        <v>72</v>
      </c>
      <c r="L14" t="s">
        <v>39</v>
      </c>
    </row>
    <row r="15" spans="1:12" x14ac:dyDescent="0.45">
      <c r="A15" t="s">
        <v>9</v>
      </c>
      <c r="B15">
        <v>1012</v>
      </c>
      <c r="C15" s="1">
        <v>45599</v>
      </c>
      <c r="D15" s="1"/>
      <c r="E15" t="s">
        <v>44</v>
      </c>
      <c r="F15" t="s">
        <v>45</v>
      </c>
      <c r="G15" s="5" t="s">
        <v>99</v>
      </c>
      <c r="H15" s="5">
        <v>823.23</v>
      </c>
      <c r="I15" t="s">
        <v>36</v>
      </c>
      <c r="J15" t="s">
        <v>86</v>
      </c>
      <c r="K15" t="s">
        <v>72</v>
      </c>
      <c r="L15" t="s">
        <v>39</v>
      </c>
    </row>
    <row r="16" spans="1:12" x14ac:dyDescent="0.45">
      <c r="A16" t="s">
        <v>10</v>
      </c>
      <c r="B16">
        <v>1011</v>
      </c>
      <c r="C16" s="1">
        <v>45850</v>
      </c>
      <c r="D16" s="1">
        <v>45853</v>
      </c>
      <c r="E16" t="s">
        <v>42</v>
      </c>
      <c r="F16" t="s">
        <v>43</v>
      </c>
      <c r="G16" s="5" t="s">
        <v>103</v>
      </c>
      <c r="H16" s="5">
        <v>1458.02</v>
      </c>
      <c r="I16" t="s">
        <v>39</v>
      </c>
      <c r="J16" t="s">
        <v>85</v>
      </c>
      <c r="K16" t="s">
        <v>72</v>
      </c>
      <c r="L16" t="s">
        <v>49</v>
      </c>
    </row>
    <row r="17" spans="1:12" x14ac:dyDescent="0.45">
      <c r="A17" t="s">
        <v>21</v>
      </c>
      <c r="B17">
        <v>1001</v>
      </c>
      <c r="C17" s="1">
        <v>45544</v>
      </c>
      <c r="D17" s="1">
        <v>45854</v>
      </c>
      <c r="E17" t="s">
        <v>42</v>
      </c>
      <c r="F17" t="s">
        <v>48</v>
      </c>
      <c r="G17" s="5" t="s">
        <v>101</v>
      </c>
      <c r="H17" s="5">
        <v>869.09</v>
      </c>
      <c r="I17" t="s">
        <v>49</v>
      </c>
      <c r="J17" t="s">
        <v>71</v>
      </c>
      <c r="K17" t="s">
        <v>72</v>
      </c>
      <c r="L17" t="s">
        <v>36</v>
      </c>
    </row>
    <row r="18" spans="1:12" x14ac:dyDescent="0.45">
      <c r="A18" t="s">
        <v>21</v>
      </c>
      <c r="B18">
        <v>1001</v>
      </c>
      <c r="C18" s="1">
        <v>45880</v>
      </c>
      <c r="D18" s="1"/>
      <c r="E18" t="s">
        <v>42</v>
      </c>
      <c r="F18" t="s">
        <v>48</v>
      </c>
      <c r="G18" s="5" t="s">
        <v>101</v>
      </c>
      <c r="H18" s="5">
        <v>869.09</v>
      </c>
      <c r="I18" t="s">
        <v>49</v>
      </c>
      <c r="J18" t="s">
        <v>71</v>
      </c>
      <c r="K18" t="s">
        <v>72</v>
      </c>
      <c r="L18" t="s">
        <v>36</v>
      </c>
    </row>
    <row r="19" spans="1:12" x14ac:dyDescent="0.45">
      <c r="A19" t="s">
        <v>11</v>
      </c>
      <c r="B19">
        <v>1005</v>
      </c>
      <c r="C19" s="1">
        <v>45837</v>
      </c>
      <c r="D19" s="1">
        <v>45898</v>
      </c>
      <c r="E19" t="s">
        <v>44</v>
      </c>
      <c r="F19" t="s">
        <v>54</v>
      </c>
      <c r="G19" s="5" t="s">
        <v>105</v>
      </c>
      <c r="H19" s="5">
        <v>1417.1</v>
      </c>
      <c r="I19" t="s">
        <v>39</v>
      </c>
      <c r="J19" t="s">
        <v>78</v>
      </c>
      <c r="K19" t="s">
        <v>77</v>
      </c>
      <c r="L19" t="s">
        <v>36</v>
      </c>
    </row>
    <row r="20" spans="1:12" x14ac:dyDescent="0.45">
      <c r="A20" t="s">
        <v>12</v>
      </c>
      <c r="B20">
        <v>1004</v>
      </c>
      <c r="C20" s="1">
        <v>45523</v>
      </c>
      <c r="D20" s="1"/>
      <c r="E20" t="s">
        <v>51</v>
      </c>
      <c r="F20" t="s">
        <v>52</v>
      </c>
      <c r="G20" s="5" t="s">
        <v>122</v>
      </c>
      <c r="H20" s="5">
        <v>1246.58</v>
      </c>
      <c r="I20" t="s">
        <v>49</v>
      </c>
      <c r="J20" t="s">
        <v>76</v>
      </c>
      <c r="K20" t="s">
        <v>77</v>
      </c>
      <c r="L20" t="s">
        <v>49</v>
      </c>
    </row>
    <row r="21" spans="1:12" x14ac:dyDescent="0.45">
      <c r="A21" t="s">
        <v>12</v>
      </c>
      <c r="B21">
        <v>1006</v>
      </c>
      <c r="C21" s="1">
        <v>45630</v>
      </c>
      <c r="D21" s="1">
        <v>45732</v>
      </c>
      <c r="E21" t="s">
        <v>51</v>
      </c>
      <c r="F21" t="s">
        <v>52</v>
      </c>
      <c r="G21" s="5" t="s">
        <v>122</v>
      </c>
      <c r="H21" s="5">
        <v>1246.58</v>
      </c>
      <c r="I21" t="s">
        <v>49</v>
      </c>
      <c r="J21" t="s">
        <v>79</v>
      </c>
      <c r="K21" t="s">
        <v>77</v>
      </c>
      <c r="L21" t="s">
        <v>49</v>
      </c>
    </row>
    <row r="22" spans="1:12" x14ac:dyDescent="0.45">
      <c r="A22" t="s">
        <v>12</v>
      </c>
      <c r="B22">
        <v>1003</v>
      </c>
      <c r="C22" s="1">
        <v>45595</v>
      </c>
      <c r="D22" s="1">
        <v>45630</v>
      </c>
      <c r="E22" t="s">
        <v>51</v>
      </c>
      <c r="F22" t="s">
        <v>52</v>
      </c>
      <c r="G22" s="5" t="s">
        <v>122</v>
      </c>
      <c r="H22" s="5">
        <v>1246.58</v>
      </c>
      <c r="I22" t="s">
        <v>49</v>
      </c>
      <c r="J22" t="s">
        <v>74</v>
      </c>
      <c r="K22" t="s">
        <v>75</v>
      </c>
      <c r="L22" t="s">
        <v>49</v>
      </c>
    </row>
    <row r="23" spans="1:12" x14ac:dyDescent="0.45">
      <c r="A23" t="s">
        <v>13</v>
      </c>
      <c r="B23">
        <v>1012</v>
      </c>
      <c r="C23" s="1">
        <v>45419</v>
      </c>
      <c r="D23" s="1">
        <v>45470</v>
      </c>
      <c r="E23" t="s">
        <v>44</v>
      </c>
      <c r="F23" t="s">
        <v>45</v>
      </c>
      <c r="G23" s="5" t="s">
        <v>107</v>
      </c>
      <c r="H23" s="5">
        <v>1898.65</v>
      </c>
      <c r="I23" t="s">
        <v>49</v>
      </c>
      <c r="J23" t="s">
        <v>86</v>
      </c>
      <c r="K23" t="s">
        <v>72</v>
      </c>
      <c r="L23" t="s">
        <v>39</v>
      </c>
    </row>
    <row r="24" spans="1:12" x14ac:dyDescent="0.45">
      <c r="A24" t="s">
        <v>13</v>
      </c>
      <c r="B24">
        <v>1009</v>
      </c>
      <c r="C24" s="1">
        <v>45319</v>
      </c>
      <c r="D24" s="1">
        <v>45714</v>
      </c>
      <c r="E24" t="s">
        <v>44</v>
      </c>
      <c r="F24" t="s">
        <v>45</v>
      </c>
      <c r="G24" s="5" t="s">
        <v>107</v>
      </c>
      <c r="H24" s="5">
        <v>1898.65</v>
      </c>
      <c r="I24" t="s">
        <v>49</v>
      </c>
      <c r="J24" t="s">
        <v>82</v>
      </c>
      <c r="K24" t="s">
        <v>83</v>
      </c>
      <c r="L24" t="s">
        <v>49</v>
      </c>
    </row>
    <row r="25" spans="1:12" x14ac:dyDescent="0.45">
      <c r="A25" t="s">
        <v>14</v>
      </c>
      <c r="B25">
        <v>1002</v>
      </c>
      <c r="C25" s="1">
        <v>45921</v>
      </c>
      <c r="D25" s="1">
        <v>45934</v>
      </c>
      <c r="E25" t="s">
        <v>42</v>
      </c>
      <c r="F25" t="s">
        <v>48</v>
      </c>
      <c r="G25" s="5" t="s">
        <v>123</v>
      </c>
      <c r="H25" s="5">
        <v>1553.15</v>
      </c>
      <c r="I25" t="s">
        <v>49</v>
      </c>
      <c r="J25" t="s">
        <v>73</v>
      </c>
      <c r="K25" t="s">
        <v>72</v>
      </c>
      <c r="L25" t="s">
        <v>36</v>
      </c>
    </row>
    <row r="26" spans="1:12" x14ac:dyDescent="0.45">
      <c r="A26" t="s">
        <v>15</v>
      </c>
      <c r="B26">
        <v>1010</v>
      </c>
      <c r="C26" s="1">
        <v>45377</v>
      </c>
      <c r="D26" s="1">
        <v>45886</v>
      </c>
      <c r="E26" t="s">
        <v>46</v>
      </c>
      <c r="F26" t="s">
        <v>56</v>
      </c>
      <c r="G26" s="5" t="s">
        <v>109</v>
      </c>
      <c r="H26" s="5">
        <v>661.44</v>
      </c>
      <c r="I26" t="s">
        <v>39</v>
      </c>
      <c r="J26" t="s">
        <v>84</v>
      </c>
      <c r="K26" t="s">
        <v>72</v>
      </c>
      <c r="L26" t="s">
        <v>49</v>
      </c>
    </row>
    <row r="27" spans="1:12" x14ac:dyDescent="0.45">
      <c r="A27" t="s">
        <v>15</v>
      </c>
      <c r="B27">
        <v>1002</v>
      </c>
      <c r="C27" s="1">
        <v>45519</v>
      </c>
      <c r="D27" s="1"/>
      <c r="E27" t="s">
        <v>46</v>
      </c>
      <c r="F27" t="s">
        <v>56</v>
      </c>
      <c r="G27" s="5" t="s">
        <v>109</v>
      </c>
      <c r="H27" s="5">
        <v>661.44</v>
      </c>
      <c r="I27" t="s">
        <v>39</v>
      </c>
      <c r="J27" t="s">
        <v>73</v>
      </c>
      <c r="K27" t="s">
        <v>72</v>
      </c>
      <c r="L27" t="s">
        <v>36</v>
      </c>
    </row>
    <row r="28" spans="1:12" x14ac:dyDescent="0.45">
      <c r="A28" t="s">
        <v>25</v>
      </c>
      <c r="B28">
        <v>1001</v>
      </c>
      <c r="C28" s="1">
        <v>45622</v>
      </c>
      <c r="D28" s="1">
        <v>45719</v>
      </c>
      <c r="E28" t="s">
        <v>42</v>
      </c>
      <c r="F28" t="s">
        <v>48</v>
      </c>
      <c r="G28" s="5" t="s">
        <v>108</v>
      </c>
      <c r="H28" s="5">
        <v>1415.97</v>
      </c>
      <c r="I28" t="s">
        <v>49</v>
      </c>
      <c r="J28" t="s">
        <v>71</v>
      </c>
      <c r="K28" t="s">
        <v>72</v>
      </c>
      <c r="L28" t="s">
        <v>36</v>
      </c>
    </row>
    <row r="29" spans="1:12" x14ac:dyDescent="0.45">
      <c r="A29" t="s">
        <v>16</v>
      </c>
      <c r="B29">
        <v>1002</v>
      </c>
      <c r="C29" s="1">
        <v>45899</v>
      </c>
      <c r="D29" s="1">
        <v>45930</v>
      </c>
      <c r="E29" t="s">
        <v>34</v>
      </c>
      <c r="F29" t="s">
        <v>41</v>
      </c>
      <c r="G29" s="5" t="s">
        <v>116</v>
      </c>
      <c r="H29" s="5">
        <v>1591.98</v>
      </c>
      <c r="I29" t="s">
        <v>49</v>
      </c>
      <c r="J29" t="s">
        <v>73</v>
      </c>
      <c r="K29" t="s">
        <v>72</v>
      </c>
      <c r="L29" t="s">
        <v>36</v>
      </c>
    </row>
    <row r="30" spans="1:12" x14ac:dyDescent="0.45">
      <c r="A30" t="s">
        <v>16</v>
      </c>
      <c r="B30">
        <v>1002</v>
      </c>
      <c r="C30" s="1">
        <v>45493</v>
      </c>
      <c r="D30" s="1">
        <v>45663</v>
      </c>
      <c r="E30" t="s">
        <v>34</v>
      </c>
      <c r="F30" t="s">
        <v>41</v>
      </c>
      <c r="G30" s="5" t="s">
        <v>116</v>
      </c>
      <c r="H30" s="5">
        <v>1591.98</v>
      </c>
      <c r="I30" t="s">
        <v>49</v>
      </c>
      <c r="J30" t="s">
        <v>73</v>
      </c>
      <c r="K30" t="s">
        <v>72</v>
      </c>
      <c r="L30" t="s">
        <v>36</v>
      </c>
    </row>
    <row r="31" spans="1:12" x14ac:dyDescent="0.45">
      <c r="A31" t="s">
        <v>17</v>
      </c>
      <c r="B31">
        <v>1011</v>
      </c>
      <c r="C31" s="1">
        <v>45568</v>
      </c>
      <c r="D31" s="1">
        <v>45623</v>
      </c>
      <c r="E31" t="s">
        <v>34</v>
      </c>
      <c r="F31" t="s">
        <v>41</v>
      </c>
      <c r="G31" s="5" t="s">
        <v>112</v>
      </c>
      <c r="H31" s="5">
        <v>1688.07</v>
      </c>
      <c r="I31" t="s">
        <v>39</v>
      </c>
      <c r="J31" t="s">
        <v>85</v>
      </c>
      <c r="K31" t="s">
        <v>72</v>
      </c>
      <c r="L31" t="s">
        <v>49</v>
      </c>
    </row>
    <row r="32" spans="1:12" x14ac:dyDescent="0.45">
      <c r="A32" t="s">
        <v>18</v>
      </c>
      <c r="B32">
        <v>1004</v>
      </c>
      <c r="C32" s="1">
        <v>45320</v>
      </c>
      <c r="D32" s="1"/>
      <c r="E32" t="s">
        <v>42</v>
      </c>
      <c r="F32" t="s">
        <v>66</v>
      </c>
      <c r="G32" s="5" t="s">
        <v>125</v>
      </c>
      <c r="H32" s="5">
        <v>1095.6199999999999</v>
      </c>
      <c r="I32" t="s">
        <v>39</v>
      </c>
      <c r="J32" t="s">
        <v>76</v>
      </c>
      <c r="K32" t="s">
        <v>77</v>
      </c>
      <c r="L32" t="s">
        <v>49</v>
      </c>
    </row>
    <row r="33" spans="1:12" x14ac:dyDescent="0.45">
      <c r="A33" t="s">
        <v>18</v>
      </c>
      <c r="B33">
        <v>1004</v>
      </c>
      <c r="C33" s="1">
        <v>45336</v>
      </c>
      <c r="D33" s="1"/>
      <c r="E33" t="s">
        <v>42</v>
      </c>
      <c r="F33" t="s">
        <v>66</v>
      </c>
      <c r="G33" s="5" t="s">
        <v>125</v>
      </c>
      <c r="H33" s="5">
        <v>1095.6199999999999</v>
      </c>
      <c r="I33" t="s">
        <v>39</v>
      </c>
      <c r="J33" t="s">
        <v>76</v>
      </c>
      <c r="K33" t="s">
        <v>77</v>
      </c>
      <c r="L33" t="s">
        <v>49</v>
      </c>
    </row>
    <row r="34" spans="1:12" x14ac:dyDescent="0.45">
      <c r="A34" t="s">
        <v>19</v>
      </c>
      <c r="B34">
        <v>1004</v>
      </c>
      <c r="C34" s="1">
        <v>45403</v>
      </c>
      <c r="D34" s="1">
        <v>45839</v>
      </c>
      <c r="E34" t="s">
        <v>61</v>
      </c>
      <c r="F34" t="s">
        <v>62</v>
      </c>
      <c r="G34" s="5" t="s">
        <v>121</v>
      </c>
      <c r="H34" s="5">
        <v>501.64</v>
      </c>
      <c r="I34" t="s">
        <v>39</v>
      </c>
      <c r="J34" t="s">
        <v>76</v>
      </c>
      <c r="K34" t="s">
        <v>77</v>
      </c>
      <c r="L34" t="s">
        <v>49</v>
      </c>
    </row>
    <row r="35" spans="1:12" x14ac:dyDescent="0.45">
      <c r="A35" t="s">
        <v>20</v>
      </c>
      <c r="B35">
        <v>1012</v>
      </c>
      <c r="C35" s="1">
        <v>45792</v>
      </c>
      <c r="D35" s="1">
        <v>45905</v>
      </c>
      <c r="E35" t="s">
        <v>51</v>
      </c>
      <c r="F35" t="s">
        <v>52</v>
      </c>
      <c r="G35" s="5" t="s">
        <v>124</v>
      </c>
      <c r="H35" s="5">
        <v>1629.76</v>
      </c>
      <c r="I35" t="s">
        <v>39</v>
      </c>
      <c r="J35" t="s">
        <v>86</v>
      </c>
      <c r="K35" t="s">
        <v>72</v>
      </c>
      <c r="L35" t="s">
        <v>39</v>
      </c>
    </row>
    <row r="36" spans="1:12" x14ac:dyDescent="0.45">
      <c r="A36" t="s">
        <v>20</v>
      </c>
      <c r="B36">
        <v>1005</v>
      </c>
      <c r="C36" s="1">
        <v>45261</v>
      </c>
      <c r="D36" s="1">
        <v>45559</v>
      </c>
      <c r="E36" t="s">
        <v>51</v>
      </c>
      <c r="F36" t="s">
        <v>52</v>
      </c>
      <c r="G36" s="5" t="s">
        <v>124</v>
      </c>
      <c r="H36" s="5">
        <v>1629.76</v>
      </c>
      <c r="I36" t="s">
        <v>39</v>
      </c>
      <c r="J36" t="s">
        <v>78</v>
      </c>
      <c r="K36" t="s">
        <v>77</v>
      </c>
      <c r="L36" t="s">
        <v>36</v>
      </c>
    </row>
    <row r="37" spans="1:12" x14ac:dyDescent="0.45">
      <c r="A37" t="s">
        <v>23</v>
      </c>
      <c r="B37">
        <v>1005</v>
      </c>
      <c r="C37" s="1">
        <v>45675</v>
      </c>
      <c r="D37" s="1"/>
      <c r="E37" t="s">
        <v>51</v>
      </c>
      <c r="F37" t="s">
        <v>52</v>
      </c>
      <c r="G37" s="5" t="s">
        <v>119</v>
      </c>
      <c r="H37" s="5">
        <v>545.46</v>
      </c>
      <c r="I37" t="s">
        <v>36</v>
      </c>
      <c r="J37" t="s">
        <v>78</v>
      </c>
      <c r="K37" t="s">
        <v>77</v>
      </c>
      <c r="L37" t="s">
        <v>36</v>
      </c>
    </row>
    <row r="38" spans="1:12" x14ac:dyDescent="0.45">
      <c r="A38" t="s">
        <v>24</v>
      </c>
      <c r="B38">
        <v>1003</v>
      </c>
      <c r="C38" s="1">
        <v>45508</v>
      </c>
      <c r="D38" s="1">
        <v>45871</v>
      </c>
      <c r="E38" t="s">
        <v>42</v>
      </c>
      <c r="F38" t="s">
        <v>48</v>
      </c>
      <c r="G38" s="5" t="s">
        <v>126</v>
      </c>
      <c r="H38" s="5">
        <v>1801.36</v>
      </c>
      <c r="I38" t="s">
        <v>39</v>
      </c>
      <c r="J38" t="s">
        <v>74</v>
      </c>
      <c r="K38" t="s">
        <v>75</v>
      </c>
      <c r="L38" t="s">
        <v>49</v>
      </c>
    </row>
    <row r="39" spans="1:12" x14ac:dyDescent="0.45">
      <c r="A39" t="s">
        <v>4</v>
      </c>
      <c r="B39">
        <v>1001</v>
      </c>
      <c r="C39" s="1">
        <v>45641</v>
      </c>
      <c r="D39" s="1"/>
      <c r="E39" t="s">
        <v>51</v>
      </c>
      <c r="F39" t="s">
        <v>67</v>
      </c>
      <c r="G39" s="5" t="s">
        <v>129</v>
      </c>
      <c r="H39" s="5">
        <v>644.54</v>
      </c>
      <c r="I39" t="s">
        <v>36</v>
      </c>
      <c r="J39" t="s">
        <v>71</v>
      </c>
      <c r="K39" t="s">
        <v>72</v>
      </c>
      <c r="L39" t="s">
        <v>36</v>
      </c>
    </row>
    <row r="40" spans="1:12" x14ac:dyDescent="0.45">
      <c r="A40" t="s">
        <v>22</v>
      </c>
      <c r="B40">
        <v>1001</v>
      </c>
      <c r="C40" s="1">
        <v>45880</v>
      </c>
      <c r="D40" s="1">
        <v>45881</v>
      </c>
      <c r="E40" t="s">
        <v>42</v>
      </c>
      <c r="F40" t="s">
        <v>43</v>
      </c>
      <c r="G40" s="5" t="s">
        <v>98</v>
      </c>
      <c r="H40" s="5">
        <v>1007.88</v>
      </c>
      <c r="I40" t="s">
        <v>39</v>
      </c>
      <c r="J40" t="s">
        <v>71</v>
      </c>
      <c r="K40" t="s">
        <v>72</v>
      </c>
      <c r="L40" t="s">
        <v>36</v>
      </c>
    </row>
    <row r="41" spans="1:12" x14ac:dyDescent="0.45">
      <c r="A41" t="s">
        <v>26</v>
      </c>
      <c r="B41">
        <v>1009</v>
      </c>
      <c r="C41" s="1">
        <v>45740</v>
      </c>
      <c r="D41" s="1">
        <v>45784</v>
      </c>
      <c r="E41" t="s">
        <v>51</v>
      </c>
      <c r="F41" t="s">
        <v>67</v>
      </c>
      <c r="G41" s="5" t="s">
        <v>127</v>
      </c>
      <c r="H41" s="5">
        <v>1212.29</v>
      </c>
      <c r="I41" t="s">
        <v>36</v>
      </c>
      <c r="J41" t="s">
        <v>82</v>
      </c>
      <c r="K41" t="s">
        <v>83</v>
      </c>
      <c r="L41" t="s">
        <v>49</v>
      </c>
    </row>
    <row r="42" spans="1:12" x14ac:dyDescent="0.45">
      <c r="A42" t="s">
        <v>26</v>
      </c>
      <c r="B42">
        <v>1002</v>
      </c>
      <c r="C42" s="1">
        <v>45741</v>
      </c>
      <c r="D42" s="1"/>
      <c r="E42" t="s">
        <v>51</v>
      </c>
      <c r="F42" t="s">
        <v>67</v>
      </c>
      <c r="G42" s="5" t="s">
        <v>127</v>
      </c>
      <c r="H42" s="5">
        <v>1212.29</v>
      </c>
      <c r="I42" t="s">
        <v>36</v>
      </c>
      <c r="J42" t="s">
        <v>73</v>
      </c>
      <c r="K42" t="s">
        <v>72</v>
      </c>
      <c r="L42" t="s">
        <v>36</v>
      </c>
    </row>
    <row r="43" spans="1:12" x14ac:dyDescent="0.45">
      <c r="A43" t="s">
        <v>9</v>
      </c>
      <c r="B43">
        <v>1010</v>
      </c>
      <c r="C43" s="1">
        <v>45899</v>
      </c>
      <c r="D43" s="1">
        <v>45925</v>
      </c>
      <c r="E43" t="s">
        <v>44</v>
      </c>
      <c r="F43" t="s">
        <v>45</v>
      </c>
      <c r="G43" s="5" t="s">
        <v>99</v>
      </c>
      <c r="H43" s="5">
        <v>823.23</v>
      </c>
      <c r="I43" t="s">
        <v>36</v>
      </c>
      <c r="J43" t="s">
        <v>84</v>
      </c>
      <c r="K43" t="s">
        <v>72</v>
      </c>
      <c r="L43" t="s">
        <v>49</v>
      </c>
    </row>
    <row r="44" spans="1:12" x14ac:dyDescent="0.45">
      <c r="A44" t="s">
        <v>7</v>
      </c>
      <c r="B44">
        <v>1007</v>
      </c>
      <c r="C44" s="1">
        <v>45795</v>
      </c>
      <c r="D44" s="1">
        <v>45846</v>
      </c>
      <c r="E44" t="s">
        <v>44</v>
      </c>
      <c r="F44" t="s">
        <v>45</v>
      </c>
      <c r="G44" s="5" t="s">
        <v>110</v>
      </c>
      <c r="H44" s="5">
        <v>1501.06</v>
      </c>
      <c r="I44" t="s">
        <v>36</v>
      </c>
      <c r="J44" t="s">
        <v>80</v>
      </c>
      <c r="K44" t="s">
        <v>72</v>
      </c>
      <c r="L44" t="s">
        <v>36</v>
      </c>
    </row>
    <row r="45" spans="1:12" x14ac:dyDescent="0.45">
      <c r="A45" t="s">
        <v>7</v>
      </c>
      <c r="B45">
        <v>1010</v>
      </c>
      <c r="C45" s="1">
        <v>45808</v>
      </c>
      <c r="D45" s="1">
        <v>45932</v>
      </c>
      <c r="E45" t="s">
        <v>44</v>
      </c>
      <c r="F45" t="s">
        <v>45</v>
      </c>
      <c r="G45" s="5" t="s">
        <v>110</v>
      </c>
      <c r="H45" s="5">
        <v>1501.06</v>
      </c>
      <c r="I45" t="s">
        <v>36</v>
      </c>
      <c r="J45" t="s">
        <v>84</v>
      </c>
      <c r="K45" t="s">
        <v>72</v>
      </c>
      <c r="L45" t="s">
        <v>49</v>
      </c>
    </row>
    <row r="46" spans="1:12" x14ac:dyDescent="0.45">
      <c r="A46" t="s">
        <v>8</v>
      </c>
      <c r="B46">
        <v>1007</v>
      </c>
      <c r="C46" s="1">
        <v>45476</v>
      </c>
      <c r="D46" s="1"/>
      <c r="E46" t="s">
        <v>46</v>
      </c>
      <c r="F46" t="s">
        <v>47</v>
      </c>
      <c r="G46" s="5" t="s">
        <v>100</v>
      </c>
      <c r="H46" s="5">
        <v>1257.96</v>
      </c>
      <c r="I46" t="s">
        <v>39</v>
      </c>
      <c r="J46" t="s">
        <v>80</v>
      </c>
      <c r="K46" t="s">
        <v>72</v>
      </c>
      <c r="L46" t="s">
        <v>36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C982-470A-456D-85B4-460638F8F5A4}">
  <dimension ref="A1:I31"/>
  <sheetViews>
    <sheetView topLeftCell="C1" workbookViewId="0">
      <selection activeCell="J12" sqref="J12"/>
    </sheetView>
  </sheetViews>
  <sheetFormatPr baseColWidth="10" defaultRowHeight="14.25" x14ac:dyDescent="0.45"/>
  <cols>
    <col min="1" max="1" width="15.1328125" bestFit="1" customWidth="1"/>
    <col min="2" max="2" width="14.06640625" bestFit="1" customWidth="1"/>
    <col min="3" max="4" width="14.6640625" bestFit="1" customWidth="1"/>
    <col min="5" max="5" width="20.46484375" bestFit="1" customWidth="1"/>
    <col min="6" max="6" width="18" bestFit="1" customWidth="1"/>
    <col min="7" max="7" width="21.19921875" bestFit="1" customWidth="1"/>
    <col min="8" max="8" width="25.265625" bestFit="1" customWidth="1"/>
    <col min="9" max="9" width="19.39843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</row>
    <row r="2" spans="1:9" x14ac:dyDescent="0.45">
      <c r="A2" s="5" t="s">
        <v>5</v>
      </c>
      <c r="B2">
        <v>1008</v>
      </c>
      <c r="C2" s="6">
        <v>45930</v>
      </c>
      <c r="D2" s="6">
        <v>45935</v>
      </c>
      <c r="E2" s="5" t="s">
        <v>61</v>
      </c>
      <c r="F2" s="5" t="s">
        <v>62</v>
      </c>
      <c r="G2">
        <v>22022023</v>
      </c>
      <c r="H2">
        <v>1134.1600000000001</v>
      </c>
      <c r="I2" s="5" t="s">
        <v>39</v>
      </c>
    </row>
    <row r="3" spans="1:9" x14ac:dyDescent="0.45">
      <c r="A3" s="5" t="s">
        <v>6</v>
      </c>
      <c r="B3">
        <v>1005</v>
      </c>
      <c r="C3" s="6">
        <v>45743</v>
      </c>
      <c r="D3" s="6">
        <v>45868</v>
      </c>
      <c r="E3" s="5" t="s">
        <v>61</v>
      </c>
      <c r="F3" s="5" t="s">
        <v>64</v>
      </c>
      <c r="G3">
        <v>1032022</v>
      </c>
      <c r="H3">
        <v>750.91</v>
      </c>
      <c r="I3" s="5" t="s">
        <v>36</v>
      </c>
    </row>
    <row r="4" spans="1:9" x14ac:dyDescent="0.45">
      <c r="A4" s="5" t="s">
        <v>7</v>
      </c>
      <c r="B4">
        <v>1002</v>
      </c>
      <c r="C4" s="6">
        <v>45799</v>
      </c>
      <c r="D4" s="6">
        <v>45808</v>
      </c>
      <c r="E4" s="5" t="s">
        <v>44</v>
      </c>
      <c r="F4" s="5" t="s">
        <v>45</v>
      </c>
      <c r="G4">
        <v>30032023</v>
      </c>
      <c r="H4">
        <v>1501.06</v>
      </c>
      <c r="I4" s="5" t="s">
        <v>36</v>
      </c>
    </row>
    <row r="5" spans="1:9" x14ac:dyDescent="0.45">
      <c r="A5" s="5" t="s">
        <v>7</v>
      </c>
      <c r="B5">
        <v>1003</v>
      </c>
      <c r="C5" s="6">
        <v>45330</v>
      </c>
      <c r="D5" s="6">
        <v>45817</v>
      </c>
      <c r="E5" s="5" t="s">
        <v>44</v>
      </c>
      <c r="F5" s="5" t="s">
        <v>45</v>
      </c>
      <c r="G5">
        <v>30032023</v>
      </c>
      <c r="H5">
        <v>1501.06</v>
      </c>
      <c r="I5" s="5" t="s">
        <v>36</v>
      </c>
    </row>
    <row r="6" spans="1:9" x14ac:dyDescent="0.45">
      <c r="A6" s="5" t="s">
        <v>22</v>
      </c>
      <c r="B6">
        <v>1003</v>
      </c>
      <c r="C6" s="6">
        <v>45827</v>
      </c>
      <c r="D6" s="6">
        <v>45908</v>
      </c>
      <c r="E6" s="5" t="s">
        <v>42</v>
      </c>
      <c r="F6" s="5" t="s">
        <v>43</v>
      </c>
      <c r="G6">
        <v>5052025</v>
      </c>
      <c r="H6">
        <v>1007.88</v>
      </c>
      <c r="I6" s="5" t="s">
        <v>39</v>
      </c>
    </row>
    <row r="7" spans="1:9" x14ac:dyDescent="0.45">
      <c r="A7" s="5" t="s">
        <v>8</v>
      </c>
      <c r="B7">
        <v>1012</v>
      </c>
      <c r="C7" s="6">
        <v>45808</v>
      </c>
      <c r="D7" s="6">
        <v>45818</v>
      </c>
      <c r="E7" s="5" t="s">
        <v>46</v>
      </c>
      <c r="F7" s="5" t="s">
        <v>47</v>
      </c>
      <c r="G7">
        <v>1012024</v>
      </c>
      <c r="H7">
        <v>1257.96</v>
      </c>
      <c r="I7" s="5" t="s">
        <v>39</v>
      </c>
    </row>
    <row r="8" spans="1:9" x14ac:dyDescent="0.45">
      <c r="A8" s="5" t="s">
        <v>9</v>
      </c>
      <c r="B8">
        <v>1006</v>
      </c>
      <c r="C8" s="6">
        <v>45892</v>
      </c>
      <c r="D8" s="6">
        <v>45922</v>
      </c>
      <c r="E8" s="5" t="s">
        <v>44</v>
      </c>
      <c r="F8" s="5" t="s">
        <v>45</v>
      </c>
      <c r="G8">
        <v>3112021</v>
      </c>
      <c r="H8">
        <v>823.23</v>
      </c>
      <c r="I8" s="5" t="s">
        <v>36</v>
      </c>
    </row>
    <row r="9" spans="1:9" x14ac:dyDescent="0.45">
      <c r="A9" s="5" t="s">
        <v>10</v>
      </c>
      <c r="B9">
        <v>1011</v>
      </c>
      <c r="C9" s="6">
        <v>45850</v>
      </c>
      <c r="D9" s="6">
        <v>45853</v>
      </c>
      <c r="E9" s="5" t="s">
        <v>42</v>
      </c>
      <c r="F9" s="5" t="s">
        <v>43</v>
      </c>
      <c r="G9">
        <v>10042023</v>
      </c>
      <c r="H9">
        <v>1458.02</v>
      </c>
      <c r="I9" s="5" t="s">
        <v>39</v>
      </c>
    </row>
    <row r="10" spans="1:9" x14ac:dyDescent="0.45">
      <c r="A10" s="5" t="s">
        <v>21</v>
      </c>
      <c r="B10">
        <v>1001</v>
      </c>
      <c r="C10" s="6">
        <v>45544</v>
      </c>
      <c r="D10" s="6">
        <v>45854</v>
      </c>
      <c r="E10" s="5" t="s">
        <v>42</v>
      </c>
      <c r="F10" s="5" t="s">
        <v>48</v>
      </c>
      <c r="G10">
        <v>13062021</v>
      </c>
      <c r="H10">
        <v>869.09</v>
      </c>
      <c r="I10" s="5" t="s">
        <v>49</v>
      </c>
    </row>
    <row r="11" spans="1:9" x14ac:dyDescent="0.45">
      <c r="A11" s="5" t="s">
        <v>11</v>
      </c>
      <c r="B11">
        <v>1005</v>
      </c>
      <c r="C11" s="6">
        <v>45837</v>
      </c>
      <c r="D11" s="6">
        <v>45898</v>
      </c>
      <c r="E11" s="5" t="s">
        <v>44</v>
      </c>
      <c r="F11" s="5" t="s">
        <v>54</v>
      </c>
      <c r="G11">
        <v>9092025</v>
      </c>
      <c r="H11">
        <v>1417.1</v>
      </c>
      <c r="I11" s="5" t="s">
        <v>39</v>
      </c>
    </row>
    <row r="12" spans="1:9" x14ac:dyDescent="0.45">
      <c r="A12" s="5" t="s">
        <v>12</v>
      </c>
      <c r="B12">
        <v>1006</v>
      </c>
      <c r="C12" s="6">
        <v>45630</v>
      </c>
      <c r="D12" s="6">
        <v>45732</v>
      </c>
      <c r="E12" s="5" t="s">
        <v>51</v>
      </c>
      <c r="F12" s="5" t="s">
        <v>52</v>
      </c>
      <c r="G12">
        <v>19012023</v>
      </c>
      <c r="H12">
        <v>1246.58</v>
      </c>
      <c r="I12" s="5" t="s">
        <v>49</v>
      </c>
    </row>
    <row r="13" spans="1:9" x14ac:dyDescent="0.45">
      <c r="A13" s="5" t="s">
        <v>12</v>
      </c>
      <c r="B13">
        <v>1003</v>
      </c>
      <c r="C13" s="6">
        <v>45595</v>
      </c>
      <c r="D13" s="6">
        <v>45630</v>
      </c>
      <c r="E13" s="5" t="s">
        <v>51</v>
      </c>
      <c r="F13" s="5" t="s">
        <v>52</v>
      </c>
      <c r="G13">
        <v>19012023</v>
      </c>
      <c r="H13">
        <v>1246.58</v>
      </c>
      <c r="I13" s="5" t="s">
        <v>49</v>
      </c>
    </row>
    <row r="14" spans="1:9" x14ac:dyDescent="0.45">
      <c r="A14" s="5" t="s">
        <v>13</v>
      </c>
      <c r="B14">
        <v>1012</v>
      </c>
      <c r="C14" s="6">
        <v>45419</v>
      </c>
      <c r="D14" s="6">
        <v>45470</v>
      </c>
      <c r="E14" s="5" t="s">
        <v>44</v>
      </c>
      <c r="F14" s="5" t="s">
        <v>45</v>
      </c>
      <c r="G14">
        <v>16052021</v>
      </c>
      <c r="H14">
        <v>1898.65</v>
      </c>
      <c r="I14" s="5" t="s">
        <v>49</v>
      </c>
    </row>
    <row r="15" spans="1:9" x14ac:dyDescent="0.45">
      <c r="A15" s="5" t="s">
        <v>13</v>
      </c>
      <c r="B15">
        <v>1009</v>
      </c>
      <c r="C15" s="6">
        <v>45319</v>
      </c>
      <c r="D15" s="6">
        <v>45714</v>
      </c>
      <c r="E15" s="5" t="s">
        <v>44</v>
      </c>
      <c r="F15" s="5" t="s">
        <v>45</v>
      </c>
      <c r="G15">
        <v>16052021</v>
      </c>
      <c r="H15">
        <v>1898.65</v>
      </c>
      <c r="I15" s="5" t="s">
        <v>49</v>
      </c>
    </row>
    <row r="16" spans="1:9" x14ac:dyDescent="0.45">
      <c r="A16" s="5" t="s">
        <v>14</v>
      </c>
      <c r="B16">
        <v>1002</v>
      </c>
      <c r="C16" s="6">
        <v>45921</v>
      </c>
      <c r="D16" s="6">
        <v>45934</v>
      </c>
      <c r="E16" s="5" t="s">
        <v>42</v>
      </c>
      <c r="F16" s="5" t="s">
        <v>48</v>
      </c>
      <c r="G16">
        <v>21052021</v>
      </c>
      <c r="H16">
        <v>1553.15</v>
      </c>
      <c r="I16" s="5" t="s">
        <v>49</v>
      </c>
    </row>
    <row r="17" spans="1:9" x14ac:dyDescent="0.45">
      <c r="A17" s="5" t="s">
        <v>15</v>
      </c>
      <c r="B17">
        <v>1010</v>
      </c>
      <c r="C17" s="6">
        <v>45377</v>
      </c>
      <c r="D17" s="6">
        <v>45886</v>
      </c>
      <c r="E17" s="5" t="s">
        <v>46</v>
      </c>
      <c r="F17" s="5" t="s">
        <v>56</v>
      </c>
      <c r="G17">
        <v>20092022</v>
      </c>
      <c r="H17">
        <v>661.44</v>
      </c>
      <c r="I17" s="5" t="s">
        <v>39</v>
      </c>
    </row>
    <row r="18" spans="1:9" x14ac:dyDescent="0.45">
      <c r="A18" s="5" t="s">
        <v>25</v>
      </c>
      <c r="B18">
        <v>1001</v>
      </c>
      <c r="C18" s="6">
        <v>45622</v>
      </c>
      <c r="D18" s="6">
        <v>45719</v>
      </c>
      <c r="E18" s="5" t="s">
        <v>42</v>
      </c>
      <c r="F18" s="5" t="s">
        <v>48</v>
      </c>
      <c r="G18">
        <v>3032021</v>
      </c>
      <c r="H18">
        <v>1415.97</v>
      </c>
      <c r="I18" s="5" t="s">
        <v>49</v>
      </c>
    </row>
    <row r="19" spans="1:9" x14ac:dyDescent="0.45">
      <c r="A19" s="5" t="s">
        <v>16</v>
      </c>
      <c r="B19">
        <v>1002</v>
      </c>
      <c r="C19" s="6">
        <v>45899</v>
      </c>
      <c r="D19" s="6">
        <v>45930</v>
      </c>
      <c r="E19" s="5" t="s">
        <v>34</v>
      </c>
      <c r="F19" s="5" t="s">
        <v>41</v>
      </c>
      <c r="G19">
        <v>20082024</v>
      </c>
      <c r="H19">
        <v>1591.98</v>
      </c>
      <c r="I19" s="5" t="s">
        <v>49</v>
      </c>
    </row>
    <row r="20" spans="1:9" x14ac:dyDescent="0.45">
      <c r="A20" s="5" t="s">
        <v>16</v>
      </c>
      <c r="B20">
        <v>1002</v>
      </c>
      <c r="C20" s="6">
        <v>45493</v>
      </c>
      <c r="D20" s="6">
        <v>45663</v>
      </c>
      <c r="E20" s="5" t="s">
        <v>34</v>
      </c>
      <c r="F20" s="5" t="s">
        <v>41</v>
      </c>
      <c r="G20">
        <v>20082024</v>
      </c>
      <c r="H20">
        <v>1591.98</v>
      </c>
      <c r="I20" s="5" t="s">
        <v>49</v>
      </c>
    </row>
    <row r="21" spans="1:9" x14ac:dyDescent="0.45">
      <c r="A21" s="5" t="s">
        <v>17</v>
      </c>
      <c r="B21">
        <v>1011</v>
      </c>
      <c r="C21" s="6">
        <v>45568</v>
      </c>
      <c r="D21" s="6">
        <v>45623</v>
      </c>
      <c r="E21" s="5" t="s">
        <v>34</v>
      </c>
      <c r="F21" s="5" t="s">
        <v>41</v>
      </c>
      <c r="G21">
        <v>5102022</v>
      </c>
      <c r="H21">
        <v>1688.07</v>
      </c>
      <c r="I21" s="5" t="s">
        <v>39</v>
      </c>
    </row>
    <row r="22" spans="1:9" x14ac:dyDescent="0.45">
      <c r="A22" s="5" t="s">
        <v>19</v>
      </c>
      <c r="B22">
        <v>1004</v>
      </c>
      <c r="C22" s="6">
        <v>45403</v>
      </c>
      <c r="D22" s="6">
        <v>45839</v>
      </c>
      <c r="E22" s="5" t="s">
        <v>61</v>
      </c>
      <c r="F22" s="5" t="s">
        <v>62</v>
      </c>
      <c r="G22">
        <v>24072022</v>
      </c>
      <c r="H22">
        <v>501.64</v>
      </c>
      <c r="I22" s="5" t="s">
        <v>39</v>
      </c>
    </row>
    <row r="23" spans="1:9" x14ac:dyDescent="0.45">
      <c r="A23" s="5" t="s">
        <v>20</v>
      </c>
      <c r="B23">
        <v>1012</v>
      </c>
      <c r="C23" s="6">
        <v>45792</v>
      </c>
      <c r="D23" s="6">
        <v>45905</v>
      </c>
      <c r="E23" s="5" t="s">
        <v>51</v>
      </c>
      <c r="F23" s="5" t="s">
        <v>52</v>
      </c>
      <c r="G23">
        <v>27032022</v>
      </c>
      <c r="H23">
        <v>1629.76</v>
      </c>
      <c r="I23" s="5" t="s">
        <v>39</v>
      </c>
    </row>
    <row r="24" spans="1:9" x14ac:dyDescent="0.45">
      <c r="A24" s="5" t="s">
        <v>20</v>
      </c>
      <c r="B24">
        <v>1005</v>
      </c>
      <c r="C24" s="6">
        <v>45261</v>
      </c>
      <c r="D24" s="6">
        <v>45559</v>
      </c>
      <c r="E24" s="5" t="s">
        <v>51</v>
      </c>
      <c r="F24" s="5" t="s">
        <v>52</v>
      </c>
      <c r="G24">
        <v>27032022</v>
      </c>
      <c r="H24">
        <v>1629.76</v>
      </c>
      <c r="I24" s="5" t="s">
        <v>39</v>
      </c>
    </row>
    <row r="25" spans="1:9" x14ac:dyDescent="0.45">
      <c r="A25" s="5" t="s">
        <v>24</v>
      </c>
      <c r="B25">
        <v>1003</v>
      </c>
      <c r="C25" s="6">
        <v>45508</v>
      </c>
      <c r="D25" s="6">
        <v>45871</v>
      </c>
      <c r="E25" s="5" t="s">
        <v>42</v>
      </c>
      <c r="F25" s="5" t="s">
        <v>48</v>
      </c>
      <c r="G25">
        <v>11112022</v>
      </c>
      <c r="H25">
        <v>1801.36</v>
      </c>
      <c r="I25" s="5" t="s">
        <v>39</v>
      </c>
    </row>
    <row r="26" spans="1:9" x14ac:dyDescent="0.45">
      <c r="A26" s="5" t="s">
        <v>22</v>
      </c>
      <c r="B26">
        <v>1001</v>
      </c>
      <c r="C26" s="6">
        <v>45880</v>
      </c>
      <c r="D26" s="6">
        <v>45881</v>
      </c>
      <c r="E26" s="5" t="s">
        <v>42</v>
      </c>
      <c r="F26" s="5" t="s">
        <v>43</v>
      </c>
      <c r="G26">
        <v>5052025</v>
      </c>
      <c r="H26">
        <v>1007.88</v>
      </c>
      <c r="I26" s="5" t="s">
        <v>39</v>
      </c>
    </row>
    <row r="27" spans="1:9" x14ac:dyDescent="0.45">
      <c r="A27" s="5" t="s">
        <v>26</v>
      </c>
      <c r="B27">
        <v>1009</v>
      </c>
      <c r="C27" s="6">
        <v>45740</v>
      </c>
      <c r="D27" s="6">
        <v>45784</v>
      </c>
      <c r="E27" s="5" t="s">
        <v>51</v>
      </c>
      <c r="F27" s="5" t="s">
        <v>67</v>
      </c>
      <c r="G27">
        <v>3032022</v>
      </c>
      <c r="H27">
        <v>1212.29</v>
      </c>
      <c r="I27" s="5" t="s">
        <v>36</v>
      </c>
    </row>
    <row r="28" spans="1:9" x14ac:dyDescent="0.45">
      <c r="A28" s="5" t="s">
        <v>9</v>
      </c>
      <c r="B28">
        <v>1010</v>
      </c>
      <c r="C28" s="6">
        <v>45899</v>
      </c>
      <c r="D28" s="6">
        <v>45925</v>
      </c>
      <c r="E28" s="5" t="s">
        <v>44</v>
      </c>
      <c r="F28" s="5" t="s">
        <v>45</v>
      </c>
      <c r="G28">
        <v>3112021</v>
      </c>
      <c r="H28">
        <v>823.23</v>
      </c>
      <c r="I28" s="5" t="s">
        <v>36</v>
      </c>
    </row>
    <row r="29" spans="1:9" x14ac:dyDescent="0.45">
      <c r="A29" s="5" t="s">
        <v>7</v>
      </c>
      <c r="B29">
        <v>1007</v>
      </c>
      <c r="C29" s="6">
        <v>45795</v>
      </c>
      <c r="D29" s="6">
        <v>45846</v>
      </c>
      <c r="E29" s="5" t="s">
        <v>44</v>
      </c>
      <c r="F29" s="5" t="s">
        <v>45</v>
      </c>
      <c r="G29">
        <v>30032023</v>
      </c>
      <c r="H29">
        <v>1501.06</v>
      </c>
      <c r="I29" s="5" t="s">
        <v>36</v>
      </c>
    </row>
    <row r="30" spans="1:9" x14ac:dyDescent="0.45">
      <c r="A30" s="5" t="s">
        <v>7</v>
      </c>
      <c r="B30">
        <v>1010</v>
      </c>
      <c r="C30" s="6">
        <v>45808</v>
      </c>
      <c r="D30" s="6">
        <v>45932</v>
      </c>
      <c r="E30" s="5" t="s">
        <v>44</v>
      </c>
      <c r="F30" s="5" t="s">
        <v>45</v>
      </c>
      <c r="G30">
        <v>30032023</v>
      </c>
      <c r="H30">
        <v>1501.06</v>
      </c>
      <c r="I30" s="5" t="s">
        <v>36</v>
      </c>
    </row>
    <row r="31" spans="1:9" x14ac:dyDescent="0.45">
      <c r="A31" s="5"/>
      <c r="C31" s="6"/>
      <c r="D31" s="6"/>
      <c r="E31" s="5"/>
      <c r="F31" s="5"/>
      <c r="H31">
        <f>SUM(PreisSumme[Geraete (2).Netto-Kaufpreis])</f>
        <v>38121.56</v>
      </c>
      <c r="I31" s="5"/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28316E-D352-49E8-9127-B1C29A9BB4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Mitarbeiter</vt:lpstr>
      <vt:lpstr>Geraete</vt:lpstr>
      <vt:lpstr>Ausleihen</vt:lpstr>
      <vt:lpstr>NurLaptops</vt:lpstr>
      <vt:lpstr>Ausleihe + Geräte</vt:lpstr>
      <vt:lpstr>Tabelle3</vt:lpstr>
      <vt:lpstr>Gesamt</vt:lpstr>
      <vt:lpstr>Preis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A. Engelhardt</dc:creator>
  <cp:lastModifiedBy>Georg A. Engelhardt</cp:lastModifiedBy>
  <dcterms:created xsi:type="dcterms:W3CDTF">2026-10-10T11:03:28Z</dcterms:created>
  <dcterms:modified xsi:type="dcterms:W3CDTF">2026-10-10T13:20:11Z</dcterms:modified>
</cp:coreProperties>
</file>